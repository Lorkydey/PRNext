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Global" sheetId="2" r:id="rId2"/>
    <sheet name="Mémoire" sheetId="3" r:id="rId3"/>
    <sheet name="CPU" sheetId="4" r:id="rId4"/>
    <sheet name="Débit" sheetId="5" r:id="rId5"/>
    <sheet name="Gzip" sheetId="6" r:id="rId6"/>
    <sheet name="Build et web" sheetId="7" r:id="rId7"/>
    <sheet name="Brut" sheetId="8" r:id="rId8"/>
    <sheet name="Méthode" sheetId="9" r:id="rId9"/>
  </sheets>
  <definedNames>
    <definedName name="_xlnm._FilterDatabase" localSheetId="7" hidden="1">Brut!$A$6:$W$84</definedName>
    <definedName name="_xlnm.Print_Area" localSheetId="3">CPU!$A$1:$J$37</definedName>
    <definedName name="_xlnm.Print_Area" localSheetId="2">Mémoire!$A$1:$J$37</definedName>
    <definedName name="_xlnm.Print_Area" localSheetId="0">Synthèse!$A$1:$L$43</definedName>
    <definedName name="_xlnm.Print_Titles" localSheetId="6">'Build et web'!$1:$6</definedName>
    <definedName name="_xlnm.Print_Titles" localSheetId="3">CPU!$1:$6</definedName>
    <definedName name="_xlnm.Print_Titles" localSheetId="4">Débit!$1:$6</definedName>
    <definedName name="_xlnm.Print_Titles" localSheetId="1">Global!$1:$6</definedName>
    <definedName name="_xlnm.Print_Titles" localSheetId="5">Gzip!$1:$6</definedName>
    <definedName name="_xlnm.Print_Titles" localSheetId="2">Mémoire!$1:$6</definedName>
  </definedNames>
  <calcPr calcId="124519" fullCalcOnLoad="1"/>
</workbook>
</file>

<file path=xl/sharedStrings.xml><?xml version="1.0" encoding="utf-8"?>
<sst xmlns="http://schemas.openxmlformats.org/spreadsheetml/2006/main" count="567" uniqueCount="239">
  <si>
    <t>SYNTHÈSE  /  RUSTYX × NEXT.JS</t>
  </si>
  <si>
    <t>23/09/2026 · Production · 3 passages · Apple M4 / 16 Gio · Next.js 16.3.5</t>
  </si>
  <si>
    <t>GLOBAL  /  RUSTYX × NEXT.JS</t>
  </si>
  <si>
    <t>70 000 requêtes par passage : 10 000 sur chacun des sept parcours, entrelacées sur UNE instance. Quatre connexions simultanées.</t>
  </si>
  <si>
    <t>MÉMOIRE  /  RUSTYX × NEXT.JS</t>
  </si>
  <si>
    <t>RSS totale : processus Rust et Node, threads RSC inclus. Client de charge exclu. La RAM des scénarios ne s’additionne pas.</t>
  </si>
  <si>
    <t>CPU  /  RUSTYX × NEXT.JS</t>
  </si>
  <si>
    <t>Temps CPU par réponse valide, tous les processus du serveur. Moins = mieux. Un débit élevé ne garantit pas un faible coût CPU.</t>
  </si>
  <si>
    <t>DÉBIT  /  RUSTYX × NEXT.JS</t>
  </si>
  <si>
    <t>Réponses valides par seconde et latence p95, quatre requêtes simultanées. Médianes de trois passages.</t>
  </si>
  <si>
    <t>GZIP  /  RUSTYX × NEXT.JS</t>
  </si>
  <si>
    <t>Même protocole, avec compression HTTP. Les fichiers publics sont compressés à la volée ; les pages construites disposent de variantes précompressées.</t>
  </si>
  <si>
    <t>BUILD ET WEB  /  RUSTYX × NEXT.JS</t>
  </si>
  <si>
    <t>Build du projet de test et JavaScript réellement chargé par Chromium. Installation des dépendances et compilation du binaire Rust exclues.</t>
  </si>
  <si>
    <t>BRUT  /  RUSTYX × NEXT.JS</t>
  </si>
  <si>
    <t>Chaque passage mesuré. Les tableaux de synthèse référencent ces cellules avec MEDIAN ; les résultats calculés sont aussi stockés dans le fichier.</t>
  </si>
  <si>
    <t>MÉTHODE  /  RUSTYX × NEXT.JS</t>
  </si>
  <si>
    <t>Périmètre, conventions de calcul, définitions et références des données.</t>
  </si>
  <si>
    <t>Moteur</t>
  </si>
  <si>
    <t>Scénario</t>
  </si>
  <si>
    <t>Passage</t>
  </si>
  <si>
    <t>Connexions</t>
  </si>
  <si>
    <t>Réponses valides</t>
  </si>
  <si>
    <t>Durée (ms)</t>
  </si>
  <si>
    <t>CPU total (ms)</t>
  </si>
  <si>
    <t>CPU / réponse (ms)</t>
  </si>
  <si>
    <t>RSS médiane (Mio)</t>
  </si>
  <si>
    <t>RSS pic (Mio)</t>
  </si>
  <si>
    <t>Réponses/s</t>
  </si>
  <si>
    <t>p50 (ms)</t>
  </si>
  <si>
    <t>p95 (ms)</t>
  </si>
  <si>
    <t>p99 (ms)</t>
  </si>
  <si>
    <t>Erreurs</t>
  </si>
  <si>
    <t>Tentatives</t>
  </si>
  <si>
    <t>Démarrage (ms)</t>
  </si>
  <si>
    <t>1re requête (ms)</t>
  </si>
  <si>
    <t>CPU client (ms)</t>
  </si>
  <si>
    <t>Octets/réponse</t>
  </si>
  <si>
    <t>Encodage</t>
  </si>
  <si>
    <t>RSS après chauffe</t>
  </si>
  <si>
    <t>Répartition requêtes</t>
  </si>
  <si>
    <t>next</t>
  </si>
  <si>
    <t>app-api</t>
  </si>
  <si>
    <t>identity</t>
  </si>
  <si>
    <t>{"/api/app": 27253}</t>
  </si>
  <si>
    <t>{"/api/app": 27317}</t>
  </si>
  <si>
    <t>{"/api/app": 27087}</t>
  </si>
  <si>
    <t>rustyx</t>
  </si>
  <si>
    <t>{"/api/app": 60295}</t>
  </si>
  <si>
    <t>{"/api/app": 59378}</t>
  </si>
  <si>
    <t>{"/api/app": 60628}</t>
  </si>
  <si>
    <t>app-ssr</t>
  </si>
  <si>
    <t>{"/app-ssr": 4658}</t>
  </si>
  <si>
    <t>{"/app-ssr": 4628}</t>
  </si>
  <si>
    <t>{"/app-ssr": 4674}</t>
  </si>
  <si>
    <t>{"/app-ssr": 6959}</t>
  </si>
  <si>
    <t>{"/app-ssr": 7081}</t>
  </si>
  <si>
    <t>{"/app-ssr": 7073}</t>
  </si>
  <si>
    <t>app-ssr-c8</t>
  </si>
  <si>
    <t>{"/app-ssr": 2224}</t>
  </si>
  <si>
    <t>{"/app-ssr": 2201}</t>
  </si>
  <si>
    <t>{"/app-ssr": 2226}</t>
  </si>
  <si>
    <t>{"/app-ssr": 3342}</t>
  </si>
  <si>
    <t>{"/app-ssr": 3334}</t>
  </si>
  <si>
    <t>app-static</t>
  </si>
  <si>
    <t>{"/app-static": 32454}</t>
  </si>
  <si>
    <t>{"/app-static": 32287}</t>
  </si>
  <si>
    <t>{"/app-static": 32273}</t>
  </si>
  <si>
    <t>{"/app-static": 91008}</t>
  </si>
  <si>
    <t>{"/app-static": 86942}</t>
  </si>
  <si>
    <t>{"/app-static": 85735}</t>
  </si>
  <si>
    <t>app-static-gzip</t>
  </si>
  <si>
    <t>gzip</t>
  </si>
  <si>
    <t>{"/app-static": 26128}</t>
  </si>
  <si>
    <t>{"/app-static": 26238}</t>
  </si>
  <si>
    <t>{"/app-static": 26099}</t>
  </si>
  <si>
    <t>{"/app-static": 77753}</t>
  </si>
  <si>
    <t>{"/app-static": 75269}</t>
  </si>
  <si>
    <t>{"/app-static": 64558}</t>
  </si>
  <si>
    <t>mixed-total</t>
  </si>
  <si>
    <t>{"/payload.txt": 10000, "/pages-static": 10000, "/app-static": 10000, "/pages-ssr": 10000, "/app-ssr": 10000, "/api/pages": 10000, "/api/app": 10000}</t>
  </si>
  <si>
    <t>pages-api</t>
  </si>
  <si>
    <t>{"/api/pages": 52774}</t>
  </si>
  <si>
    <t>{"/api/pages": 52326}</t>
  </si>
  <si>
    <t>{"/api/pages": 53118}</t>
  </si>
  <si>
    <t>{"/api/pages": 68512}</t>
  </si>
  <si>
    <t>{"/api/pages": 68648}</t>
  </si>
  <si>
    <t>{"/api/pages": 69683}</t>
  </si>
  <si>
    <t>pages-ssr</t>
  </si>
  <si>
    <t>{"/pages-ssr": 14045}</t>
  </si>
  <si>
    <t>{"/pages-ssr": 13917}</t>
  </si>
  <si>
    <t>{"/pages-ssr": 13893}</t>
  </si>
  <si>
    <t>{"/pages-ssr": 39970}</t>
  </si>
  <si>
    <t>{"/pages-ssr": 40216}</t>
  </si>
  <si>
    <t>{"/pages-ssr": 40366}</t>
  </si>
  <si>
    <t>pages-ssr-c8</t>
  </si>
  <si>
    <t>{"/pages-ssr": 6442}</t>
  </si>
  <si>
    <t>{"/pages-ssr": 6489}</t>
  </si>
  <si>
    <t>{"/pages-ssr": 6521}</t>
  </si>
  <si>
    <t>{"/pages-ssr": 19358}</t>
  </si>
  <si>
    <t>{"/pages-ssr": 19523}</t>
  </si>
  <si>
    <t>{"/pages-ssr": 19531}</t>
  </si>
  <si>
    <t>pages-static</t>
  </si>
  <si>
    <t>{"/pages-static": 45061}</t>
  </si>
  <si>
    <t>{"/pages-static": 44795}</t>
  </si>
  <si>
    <t>{"/pages-static": 44648}</t>
  </si>
  <si>
    <t>{"/pages-static": 92959}</t>
  </si>
  <si>
    <t>{"/pages-static": 89445}</t>
  </si>
  <si>
    <t>{"/pages-static": 89456}</t>
  </si>
  <si>
    <t>pages-static-gzip</t>
  </si>
  <si>
    <t>{"/pages-static": 36195}</t>
  </si>
  <si>
    <t>{"/pages-static": 36206}</t>
  </si>
  <si>
    <t>{"/pages-static": 36592}</t>
  </si>
  <si>
    <t>{"/pages-static": 82598}</t>
  </si>
  <si>
    <t>{"/pages-static": 79451}</t>
  </si>
  <si>
    <t>{"/pages-static": 72727}</t>
  </si>
  <si>
    <t>public-32k</t>
  </si>
  <si>
    <t>{"/payload.txt": 93946}</t>
  </si>
  <si>
    <t>{"/payload.txt": 93898}</t>
  </si>
  <si>
    <t>{"/payload.txt": 93829}</t>
  </si>
  <si>
    <t>{"/payload.txt": 137859}</t>
  </si>
  <si>
    <t>{"/payload.txt": 132664}</t>
  </si>
  <si>
    <t>{"/payload.txt": 128717}</t>
  </si>
  <si>
    <t>public-32k-gzip</t>
  </si>
  <si>
    <t>{"/payload.txt": 59825}</t>
  </si>
  <si>
    <t>{"/payload.txt": 58323}</t>
  </si>
  <si>
    <t>{"/payload.txt": 56195}</t>
  </si>
  <si>
    <t>{"/payload.txt": 100897}</t>
  </si>
  <si>
    <t>{"/payload.txt": 100128}</t>
  </si>
  <si>
    <t>{"/payload.txt": 83381}</t>
  </si>
  <si>
    <t>Critère</t>
  </si>
  <si>
    <t>Next.js</t>
  </si>
  <si>
    <t>Rustyx</t>
  </si>
  <si>
    <t>Gain Rustyx</t>
  </si>
  <si>
    <t>Avantage</t>
  </si>
  <si>
    <t>Temps total (s)</t>
  </si>
  <si>
    <t>CPU total (s)</t>
  </si>
  <si>
    <t>RAM médiane (Mio)</t>
  </si>
  <si>
    <t>Pic RAM (Mio)</t>
  </si>
  <si>
    <t>Durée (s)</t>
  </si>
  <si>
    <t>RSS médiane</t>
  </si>
  <si>
    <t>Pic RSS</t>
  </si>
  <si>
    <t>Réponses</t>
  </si>
  <si>
    <t>Cœurs équiv.</t>
  </si>
  <si>
    <t>Indice indépendant</t>
  </si>
  <si>
    <t>Next.js = 100</t>
  </si>
  <si>
    <t>Les 3 passages répètent chacun la même charge. Le CPU total est un temps processeur cumulé, pas un pourcentage. La RAM est celle d’une instance ayant chargé les routes Pages et App ; elle n’est pas la somme de sept serveurs isolés.</t>
  </si>
  <si>
    <t>Parcours</t>
  </si>
  <si>
    <t>Next (Mio)</t>
  </si>
  <si>
    <t>Rustyx (Mio)</t>
  </si>
  <si>
    <t>Next min</t>
  </si>
  <si>
    <t>Next max</t>
  </si>
  <si>
    <t>Rustyx min</t>
  </si>
  <si>
    <t>Rustyx max</t>
  </si>
  <si>
    <t>Fichier public · 32 Kio</t>
  </si>
  <si>
    <t>Pages · statique</t>
  </si>
  <si>
    <t>App · statique</t>
  </si>
  <si>
    <t>Pages · SSR</t>
  </si>
  <si>
    <t>App · SSR</t>
  </si>
  <si>
    <t>API Pages</t>
  </si>
  <si>
    <t>API App</t>
  </si>
  <si>
    <t>Next (ms/réponse)</t>
  </si>
  <si>
    <t>Rustyx (ms/réponse)</t>
  </si>
  <si>
    <t>Next rép./s</t>
  </si>
  <si>
    <t>Rustyx rép./s</t>
  </si>
  <si>
    <t>Ratio débit</t>
  </si>
  <si>
    <t>Next p95 ms</t>
  </si>
  <si>
    <t>Rustyx p95 ms</t>
  </si>
  <si>
    <t>Avantage débit</t>
  </si>
  <si>
    <t>Test à 8 connexions</t>
  </si>
  <si>
    <t>Erreurs Next</t>
  </si>
  <si>
    <t>Erreurs Rustyx</t>
  </si>
  <si>
    <t>p95 Next ms</t>
  </si>
  <si>
    <t>p95 Rustyx ms</t>
  </si>
  <si>
    <t>Parcours gzip</t>
  </si>
  <si>
    <t>CPU Next ms</t>
  </si>
  <si>
    <t>CPU Rustyx ms</t>
  </si>
  <si>
    <t>Gain CPU</t>
  </si>
  <si>
    <t>RSS Next Mio</t>
  </si>
  <si>
    <t>RSS Rustyx Mio</t>
  </si>
  <si>
    <t>Unité / périmètre</t>
  </si>
  <si>
    <t>Build du projet</t>
  </si>
  <si>
    <t>secondes</t>
  </si>
  <si>
    <t>Pic RSS du build</t>
  </si>
  <si>
    <t>Mio, arbre de processus</t>
  </si>
  <si>
    <t>Sorties de build</t>
  </si>
  <si>
    <t>Mio, hors dépendances et binaire</t>
  </si>
  <si>
    <t>JS /pages-static</t>
  </si>
  <si>
    <t>Kio compressés ; hydratation OK</t>
  </si>
  <si>
    <t>JS /app-static</t>
  </si>
  <si>
    <t>Build brut</t>
  </si>
  <si>
    <t>Durée s</t>
  </si>
  <si>
    <t>Pic RSS Mio</t>
  </si>
  <si>
    <t>Sorties Mio</t>
  </si>
  <si>
    <t>GAIN CPU · CHARGE MIXTE</t>
  </si>
  <si>
    <t>GAIN RAM · CHARGE MIXTE</t>
  </si>
  <si>
    <t>TEMPS ÉCONOMISÉ · MÊME CHARGE</t>
  </si>
  <si>
    <t>Même charge = 70 000 réponses valides par moteur et par passage. Les trois critères restent distincts : aucun « score total » artificiel ne mélange secondes et mémoire.</t>
  </si>
  <si>
    <t>Gain RAM</t>
  </si>
  <si>
    <t>Débit Rustyx/Next</t>
  </si>
  <si>
    <t>Avantage RAM</t>
  </si>
  <si>
    <t>Avantage CPU</t>
  </si>
  <si>
    <t>Vert : économie ≥ 5 %. Orange : surcoût ≥ 5 %. « Proche » : écart inférieur à 5 %, repère de lecture et non test statistique. Les chiffres portent sur une petite application, pas sur toute application Next.js.</t>
  </si>
  <si>
    <t>Élément</t>
  </si>
  <si>
    <t>Détail</t>
  </si>
  <si>
    <t>Date et machine</t>
  </si>
  <si>
    <t>23/09/2026 · Apple M4 · 10 cœurs logiques · 16 Gio · Node v22.17.1</t>
  </si>
  <si>
    <t>Versions</t>
  </si>
  <si>
    <t>Next.js 16.3.5 avec Turbopack par défaut ; Rustyx 0.1.0-alpha.1 release ; React/react-dom 19.3.0.</t>
  </si>
  <si>
    <t>Même projet</t>
  </si>
  <si>
    <t>Sept parcours : fichier public de 32 Kio, Pages/App statiques et SSR, API Pages/App. Pages de 100 lignes avec compteur hydraté ; API JSON de 20 valeurs. Aucun appel distant.</t>
  </si>
  <si>
    <t>Répétitions</t>
  </si>
  <si>
    <t>Trois passages, ordre des moteurs alterné. Serveur neuf par scénario. Un worker Rustyx ; configuration Next par défaut. Aucun changement du framework pendant les mesures.</t>
  </si>
  <si>
    <t>Parcours isolés</t>
  </si>
  <si>
    <t>1 000 requêtes de chauffe puis quatre secondes avec quatre connexions keep-alive. Variantes identity et gzip. Les essais SSR à huit connexions durent deux secondes.</t>
  </si>
  <si>
    <t>Charge globale</t>
  </si>
  <si>
    <t>Une seule instance par moteur : chauffe de 1 400 requêtes puis 70 000 demandes entrelacées, exactement 10 000 par parcours, avec quatre connexions. Cette charge est répétée trois fois.</t>
  </si>
  <si>
    <t>CPU</t>
  </si>
  <si>
    <t>Temps CPU serveur et descendants via ps. CPU/réponse = CPU cumulé ÷ réponses valides. Les threads RSC sont inclus dans leur processus. Le CPU du client est exclu.</t>
  </si>
  <si>
    <t>RAM</t>
  </si>
  <si>
    <t>RSS cumulée Rust + Node, échantillonnée toutes les 150 ms environ. Partages de pages potentiellement comptés plusieurs fois ; ce n’est pas une mémoire physique unique. Les pics brefs peuvent être manqués.</t>
  </si>
  <si>
    <t>Agrégation</t>
  </si>
  <si>
    <t>Médiane des trois passages. RAM sous charge : médiane temporelle, puis médiane des passages. Un pic affiché est la médiane des pics observés. Aucune somme de RAM entre scénarios.</t>
  </si>
  <si>
    <t>Gains</t>
  </si>
  <si>
    <t>Économie = 1 − Rustyx/Next pour CPU, RAM et durée. Ratio de débit = Rustyx/Next. Écart &lt; 5 % qualifié de proche, sans signification statistique garantie.</t>
  </si>
  <si>
    <t>Vérification</t>
  </si>
  <si>
    <t>Statut et marqueur vérifiés dans toutes les réponses ; identifiant variable pour le dynamique. Chaque parcours mixte doit recevoir exactement 10 000 requêtes. Hydratation et clic du compteur dans Chromium.</t>
  </si>
  <si>
    <t>Build et web</t>
  </si>
  <si>
    <t>Sorties supprimées avant build ; cache disque OS non vidé. Installation des dépendances et compilation préalable de Rust exclues. Taille du build hors dépendances : pas une taille de déploiement complète.</t>
  </si>
  <si>
    <t>Limites</t>
  </si>
  <si>
    <t>Microbenchmark local court ; client et serveur partagent la machine. Pas de preuve de stabilité longue durée, de consommation électrique ni de capacité maximale. HMR, PPR, images et applications complexes non mesurés.</t>
  </si>
  <si>
    <t>Données</t>
  </si>
  <si>
    <t>mesures-brutes.json — contient chaque passage, les compteurs par route, les versions, les sources de la fixture et les empreintes. Les graphiques Excel restent modifiables.</t>
  </si>
  <si>
    <t>SHA-256 données</t>
  </si>
  <si>
    <t>dc4bb22c19682ef7307a67cd95ed3269a4f543e30c40e58e9fbbc11df9835515</t>
  </si>
  <si>
    <t>SHA-256 binaire</t>
  </si>
  <si>
    <t>c16d76021ec87a3bd5787803e662b8b40e1e1644d23c67828d756afcdcbe04de</t>
  </si>
  <si>
    <t>SHA-256 fixture</t>
  </si>
  <si>
    <t>a493e3268bc9025d6c031e50fda60ca620b3bc02bea7ae6ad19b930ff5666b4b</t>
  </si>
</sst>
</file>

<file path=xl/styles.xml><?xml version="1.0" encoding="utf-8"?>
<styleSheet xmlns="http://schemas.openxmlformats.org/spreadsheetml/2006/main">
  <numFmts count="6">
    <numFmt numFmtId="164" formatCode="0.0%"/>
    <numFmt numFmtId="165" formatCode="0.0%;[Red]-0.0%"/>
    <numFmt numFmtId="166" formatCode="0.00&quot;×&quot;"/>
    <numFmt numFmtId="167" formatCode="#,##0.0"/>
    <numFmt numFmtId="168" formatCode="0.000"/>
    <numFmt numFmtId="169" formatCode="#,##0"/>
  </numFmts>
  <fonts count="7">
    <font>
      <sz val="11"/>
      <color theme="1"/>
      <name val="Calibri"/>
      <family val="2"/>
      <scheme val="minor"/>
    </font>
    <font>
      <b/>
      <sz val="22"/>
      <color rgb="FFFFFFFF"/>
      <name val="Aptos Display"/>
      <family val="2"/>
    </font>
    <font>
      <sz val="10"/>
      <color rgb="FF61728A"/>
      <name val="Aptos"/>
      <family val="2"/>
    </font>
    <font>
      <b/>
      <sz val="10"/>
      <color rgb="FFFFFFFF"/>
      <name val="Aptos"/>
      <family val="2"/>
    </font>
    <font>
      <b/>
      <sz val="29"/>
      <color rgb="FF008B7C"/>
      <name val="Aptos Display"/>
      <family val="2"/>
    </font>
    <font>
      <sz val="10"/>
      <color rgb="FF172D43"/>
      <name val="Aptos"/>
      <family val="2"/>
    </font>
    <font>
      <sz val="10"/>
      <color rgb="FF008B7C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72D43"/>
        <bgColor indexed="64"/>
      </patternFill>
    </fill>
    <fill>
      <patternFill patternType="solid">
        <fgColor rgb="FFF0F5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FE7E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164" fontId="4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/>
    </xf>
    <xf numFmtId="165" fontId="6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168" fontId="5" fillId="0" borderId="1" xfId="0" applyNumberFormat="1" applyFont="1" applyBorder="1"/>
    <xf numFmtId="169" fontId="5" fillId="0" borderId="1" xfId="0" applyNumberFormat="1" applyFont="1" applyBorder="1"/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2">
    <dxf>
      <font>
        <color rgb="FF006D5F"/>
      </font>
      <fill>
        <patternFill>
          <bgColor rgb="FFE1F3EE"/>
        </patternFill>
      </fill>
    </dxf>
    <dxf>
      <font>
        <color rgb="FF8C5709"/>
      </font>
      <fill>
        <patternFill>
          <bgColor rgb="FFFFF0D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solidFill>
                  <a:srgbClr val="172D43"/>
                </a:solidFill>
                <a:latin typeface="Aptos"/>
              </a:defRPr>
            </a:pPr>
            <a:r>
              <a:rPr lang="en-US" sz="1300" baseline="0">
                <a:solidFill>
                  <a:srgbClr val="172D43"/>
                </a:solidFill>
                <a:latin typeface="Aptos"/>
              </a:rPr>
              <a:t>Vue globale — même quantité de travail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Next.js</c:v>
          </c:tx>
          <c:spPr>
            <a:solidFill>
              <a:srgbClr val="61728A"/>
            </a:solidFill>
            <a:ln>
              <a:noFill/>
            </a:ln>
          </c:spPr>
          <c:cat>
            <c:strRef>
              <c:f>Global!$A$25:$A$27</c:f>
              <c:strCache>
                <c:ptCount val="3"/>
                <c:pt idx="0">
                  <c:v>Temps total (s)</c:v>
                </c:pt>
                <c:pt idx="1">
                  <c:v>CPU total (s)</c:v>
                </c:pt>
                <c:pt idx="2">
                  <c:v>RAM médiane (Mio)</c:v>
                </c:pt>
              </c:strCache>
            </c:strRef>
          </c:cat>
          <c:val>
            <c:numRef>
              <c:f>Global!$B$25:$B$27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</c:ser>
        <c:ser>
          <c:idx val="1"/>
          <c:order val="1"/>
          <c:tx>
            <c:v>Rustyx</c:v>
          </c:tx>
          <c:spPr>
            <a:solidFill>
              <a:srgbClr val="008B7C"/>
            </a:solidFill>
            <a:ln>
              <a:noFill/>
            </a:ln>
          </c:spPr>
          <c:cat>
            <c:strRef>
              <c:f>Global!$A$25:$A$27</c:f>
              <c:strCache>
                <c:ptCount val="3"/>
                <c:pt idx="0">
                  <c:v>Temps total (s)</c:v>
                </c:pt>
                <c:pt idx="1">
                  <c:v>CPU total (s)</c:v>
                </c:pt>
                <c:pt idx="2">
                  <c:v>RAM médiane (Mio)</c:v>
                </c:pt>
              </c:strCache>
            </c:strRef>
          </c:cat>
          <c:val>
            <c:numRef>
              <c:f>Global!$C$25:$C$27</c:f>
              <c:numCache>
                <c:formatCode>General</c:formatCode>
                <c:ptCount val="3"/>
                <c:pt idx="0">
                  <c:v>44.688392382946475</c:v>
                </c:pt>
                <c:pt idx="1">
                  <c:v>64.56127080181543</c:v>
                </c:pt>
                <c:pt idx="2">
                  <c:v>85.24947972184152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t"/>
        <c:majorGridlines>
          <c:spPr>
            <a:ln>
              <a:solidFill>
                <a:srgbClr val="DFE7EE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Indice Next.js = 100 — moins = mieux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  <c:spPr>
        <a:ln>
          <a:noFill/>
        </a:ln>
      </c:spPr>
    </c:plotArea>
    <c:legend>
      <c:legendPos val="b"/>
      <c:layout/>
      <c:txPr>
        <a:bodyPr/>
        <a:lstStyle/>
        <a:p>
          <a:pPr>
            <a:defRPr sz="10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solidFill>
                  <a:srgbClr val="172D43"/>
                </a:solidFill>
                <a:latin typeface="Aptos"/>
              </a:defRPr>
            </a:pPr>
            <a:r>
              <a:rPr lang="en-US" sz="1300" baseline="0">
                <a:solidFill>
                  <a:srgbClr val="172D43"/>
                </a:solidFill>
                <a:latin typeface="Aptos"/>
              </a:rPr>
              <a:t>Coût mémoire par route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Next.js</c:v>
          </c:tx>
          <c:spPr>
            <a:solidFill>
              <a:srgbClr val="61728A"/>
            </a:solidFill>
            <a:ln>
              <a:noFill/>
            </a:ln>
          </c:spPr>
          <c:cat>
            <c:strRef>
              <c:f>Mémoire!$A$7:$A$13</c:f>
              <c:strCache>
                <c:ptCount val="7"/>
                <c:pt idx="0">
                  <c:v>Fichier public · 32 Kio</c:v>
                </c:pt>
                <c:pt idx="1">
                  <c:v>Pages · statique</c:v>
                </c:pt>
                <c:pt idx="2">
                  <c:v>App · statique</c:v>
                </c:pt>
                <c:pt idx="3">
                  <c:v>Pages · SSR</c:v>
                </c:pt>
                <c:pt idx="4">
                  <c:v>App · SSR</c:v>
                </c:pt>
                <c:pt idx="5">
                  <c:v>API Pages</c:v>
                </c:pt>
                <c:pt idx="6">
                  <c:v>API App</c:v>
                </c:pt>
              </c:strCache>
            </c:strRef>
          </c:cat>
          <c:val>
            <c:numRef>
              <c:f>Mémoire!$B$7:$B$13</c:f>
              <c:numCache>
                <c:formatCode>General</c:formatCode>
                <c:ptCount val="7"/>
                <c:pt idx="0">
                  <c:v>212.03125</c:v>
                </c:pt>
                <c:pt idx="1">
                  <c:v>230.390625</c:v>
                </c:pt>
                <c:pt idx="2">
                  <c:v>232.484375</c:v>
                </c:pt>
                <c:pt idx="3">
                  <c:v>208.828125</c:v>
                </c:pt>
                <c:pt idx="4">
                  <c:v>270.453125</c:v>
                </c:pt>
                <c:pt idx="5">
                  <c:v>230.75</c:v>
                </c:pt>
                <c:pt idx="6">
                  <c:v>252.84375</c:v>
                </c:pt>
              </c:numCache>
            </c:numRef>
          </c:val>
        </c:ser>
        <c:ser>
          <c:idx val="1"/>
          <c:order val="1"/>
          <c:tx>
            <c:v>Rustyx</c:v>
          </c:tx>
          <c:spPr>
            <a:solidFill>
              <a:srgbClr val="008B7C"/>
            </a:solidFill>
            <a:ln>
              <a:noFill/>
            </a:ln>
          </c:spPr>
          <c:cat>
            <c:strRef>
              <c:f>Mémoire!$A$7:$A$13</c:f>
              <c:strCache>
                <c:ptCount val="7"/>
                <c:pt idx="0">
                  <c:v>Fichier public · 32 Kio</c:v>
                </c:pt>
                <c:pt idx="1">
                  <c:v>Pages · statique</c:v>
                </c:pt>
                <c:pt idx="2">
                  <c:v>App · statique</c:v>
                </c:pt>
                <c:pt idx="3">
                  <c:v>Pages · SSR</c:v>
                </c:pt>
                <c:pt idx="4">
                  <c:v>App · SSR</c:v>
                </c:pt>
                <c:pt idx="5">
                  <c:v>API Pages</c:v>
                </c:pt>
                <c:pt idx="6">
                  <c:v>API App</c:v>
                </c:pt>
              </c:strCache>
            </c:strRef>
          </c:cat>
          <c:val>
            <c:numRef>
              <c:f>Mémoire!$C$7:$C$13</c:f>
              <c:numCache>
                <c:formatCode>General</c:formatCode>
                <c:ptCount val="7"/>
                <c:pt idx="0">
                  <c:v>8.375</c:v>
                </c:pt>
                <c:pt idx="1">
                  <c:v>8.078125</c:v>
                </c:pt>
                <c:pt idx="2">
                  <c:v>8.34375</c:v>
                </c:pt>
                <c:pt idx="3">
                  <c:v>107.96875</c:v>
                </c:pt>
                <c:pt idx="4">
                  <c:v>246.796875</c:v>
                </c:pt>
                <c:pt idx="5">
                  <c:v>137.46875</c:v>
                </c:pt>
                <c:pt idx="6">
                  <c:v>164.28125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t"/>
        <c:majorGridlines>
          <c:spPr>
            <a:ln>
              <a:solidFill>
                <a:srgbClr val="DFE7EE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Mio — moins = mieux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  <c:spPr>
        <a:ln>
          <a:noFill/>
        </a:ln>
      </c:spPr>
    </c:plotArea>
    <c:legend>
      <c:legendPos val="b"/>
      <c:layout/>
      <c:txPr>
        <a:bodyPr/>
        <a:lstStyle/>
        <a:p>
          <a:pPr>
            <a:defRPr sz="10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solidFill>
                  <a:srgbClr val="172D43"/>
                </a:solidFill>
                <a:latin typeface="Aptos"/>
              </a:defRPr>
            </a:pPr>
            <a:r>
              <a:rPr lang="en-US" sz="1300" baseline="0">
                <a:solidFill>
                  <a:srgbClr val="172D43"/>
                </a:solidFill>
                <a:latin typeface="Aptos"/>
              </a:rPr>
              <a:t>Coût CPU par réponse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Next.js</c:v>
          </c:tx>
          <c:spPr>
            <a:solidFill>
              <a:srgbClr val="61728A"/>
            </a:solidFill>
            <a:ln>
              <a:noFill/>
            </a:ln>
          </c:spPr>
          <c:cat>
            <c:strRef>
              <c:f>CPU!$A$7:$A$13</c:f>
              <c:strCache>
                <c:ptCount val="7"/>
                <c:pt idx="0">
                  <c:v>Fichier public · 32 Kio</c:v>
                </c:pt>
                <c:pt idx="1">
                  <c:v>Pages · statique</c:v>
                </c:pt>
                <c:pt idx="2">
                  <c:v>App · statique</c:v>
                </c:pt>
                <c:pt idx="3">
                  <c:v>Pages · SSR</c:v>
                </c:pt>
                <c:pt idx="4">
                  <c:v>App · SSR</c:v>
                </c:pt>
                <c:pt idx="5">
                  <c:v>API Pages</c:v>
                </c:pt>
                <c:pt idx="6">
                  <c:v>API App</c:v>
                </c:pt>
              </c:strCache>
            </c:strRef>
          </c:cat>
          <c:val>
            <c:numRef>
              <c:f>CPU!$B$7:$B$13</c:f>
              <c:numCache>
                <c:formatCode>General</c:formatCode>
                <c:ptCount val="7"/>
                <c:pt idx="0">
                  <c:v>0.07236568651483016</c:v>
                </c:pt>
                <c:pt idx="1">
                  <c:v>0.10581538118093538</c:v>
                </c:pt>
                <c:pt idx="2">
                  <c:v>0.14563257211910885</c:v>
                </c:pt>
                <c:pt idx="3">
                  <c:v>0.388014658331537</c:v>
                </c:pt>
                <c:pt idx="4">
                  <c:v>1.146414770287677</c:v>
                </c:pt>
                <c:pt idx="5">
                  <c:v>0.09284875127903892</c:v>
                </c:pt>
                <c:pt idx="6">
                  <c:v>0.18970388581073644</c:v>
                </c:pt>
              </c:numCache>
            </c:numRef>
          </c:val>
        </c:ser>
        <c:ser>
          <c:idx val="1"/>
          <c:order val="1"/>
          <c:tx>
            <c:v>Rustyx</c:v>
          </c:tx>
          <c:spPr>
            <a:solidFill>
              <a:srgbClr val="008B7C"/>
            </a:solidFill>
            <a:ln>
              <a:noFill/>
            </a:ln>
          </c:spPr>
          <c:cat>
            <c:strRef>
              <c:f>CPU!$A$7:$A$13</c:f>
              <c:strCache>
                <c:ptCount val="7"/>
                <c:pt idx="0">
                  <c:v>Fichier public · 32 Kio</c:v>
                </c:pt>
                <c:pt idx="1">
                  <c:v>Pages · statique</c:v>
                </c:pt>
                <c:pt idx="2">
                  <c:v>App · statique</c:v>
                </c:pt>
                <c:pt idx="3">
                  <c:v>Pages · SSR</c:v>
                </c:pt>
                <c:pt idx="4">
                  <c:v>App · SSR</c:v>
                </c:pt>
                <c:pt idx="5">
                  <c:v>API Pages</c:v>
                </c:pt>
                <c:pt idx="6">
                  <c:v>API App</c:v>
                </c:pt>
              </c:strCache>
            </c:strRef>
          </c:cat>
          <c:val>
            <c:numRef>
              <c:f>CPU!$C$7:$C$13</c:f>
              <c:numCache>
                <c:formatCode>General</c:formatCode>
                <c:ptCount val="7"/>
                <c:pt idx="0">
                  <c:v>0.062111801242236024</c:v>
                </c:pt>
                <c:pt idx="1">
                  <c:v>0.13494326122198</c:v>
                </c:pt>
                <c:pt idx="2">
                  <c:v>0.13675783855903936</c:v>
                </c:pt>
                <c:pt idx="3">
                  <c:v>0.13129102844638948</c:v>
                </c:pt>
                <c:pt idx="4">
                  <c:v>0.8482963381874735</c:v>
                </c:pt>
                <c:pt idx="5">
                  <c:v>0.11114671949656217</c:v>
                </c:pt>
                <c:pt idx="6">
                  <c:v>0.11593001078033005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t"/>
        <c:majorGridlines>
          <c:spPr>
            <a:ln>
              <a:solidFill>
                <a:srgbClr val="DFE7EE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ms/réponse — moins = mieux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30001"/>
        <c:crosses val="autoZero"/>
        <c:crossBetween val="between"/>
      </c:valAx>
      <c:spPr>
        <a:ln>
          <a:noFill/>
        </a:ln>
      </c:spPr>
    </c:plotArea>
    <c:legend>
      <c:legendPos val="b"/>
      <c:layout/>
      <c:txPr>
        <a:bodyPr/>
        <a:lstStyle/>
        <a:p>
          <a:pPr>
            <a:defRPr sz="10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solidFill>
                  <a:srgbClr val="172D43"/>
                </a:solidFill>
                <a:latin typeface="Aptos"/>
              </a:defRPr>
            </a:pPr>
            <a:r>
              <a:rPr lang="en-US" sz="1300" baseline="0">
                <a:solidFill>
                  <a:srgbClr val="172D43"/>
                </a:solidFill>
                <a:latin typeface="Aptos"/>
              </a:rPr>
              <a:t>Débit des réponses valides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Next.js</c:v>
          </c:tx>
          <c:spPr>
            <a:solidFill>
              <a:srgbClr val="61728A"/>
            </a:solidFill>
            <a:ln>
              <a:noFill/>
            </a:ln>
          </c:spPr>
          <c:cat>
            <c:strRef>
              <c:f>Débit!$A$7:$A$13</c:f>
              <c:strCache>
                <c:ptCount val="7"/>
                <c:pt idx="0">
                  <c:v>Fichier public · 32 Kio</c:v>
                </c:pt>
                <c:pt idx="1">
                  <c:v>Pages · statique</c:v>
                </c:pt>
                <c:pt idx="2">
                  <c:v>App · statique</c:v>
                </c:pt>
                <c:pt idx="3">
                  <c:v>Pages · SSR</c:v>
                </c:pt>
                <c:pt idx="4">
                  <c:v>App · SSR</c:v>
                </c:pt>
                <c:pt idx="5">
                  <c:v>API Pages</c:v>
                </c:pt>
                <c:pt idx="6">
                  <c:v>API App</c:v>
                </c:pt>
              </c:strCache>
            </c:strRef>
          </c:cat>
          <c:val>
            <c:numRef>
              <c:f>Débit!$B$7:$B$13</c:f>
              <c:numCache>
                <c:formatCode>General</c:formatCode>
                <c:ptCount val="7"/>
                <c:pt idx="0">
                  <c:v>23472.35765444452</c:v>
                </c:pt>
                <c:pt idx="1">
                  <c:v>11197.462291836438</c:v>
                </c:pt>
                <c:pt idx="2">
                  <c:v>8070.511261261765</c:v>
                </c:pt>
                <c:pt idx="3">
                  <c:v>3478.078865631963</c:v>
                </c:pt>
                <c:pt idx="4">
                  <c:v>1164.072360848175</c:v>
                </c:pt>
                <c:pt idx="5">
                  <c:v>13192.109330708712</c:v>
                </c:pt>
                <c:pt idx="6">
                  <c:v>6812.172612325282</c:v>
                </c:pt>
              </c:numCache>
            </c:numRef>
          </c:val>
        </c:ser>
        <c:ser>
          <c:idx val="1"/>
          <c:order val="1"/>
          <c:tx>
            <c:v>Rustyx</c:v>
          </c:tx>
          <c:spPr>
            <a:solidFill>
              <a:srgbClr val="008B7C"/>
            </a:solidFill>
            <a:ln>
              <a:noFill/>
            </a:ln>
          </c:spPr>
          <c:cat>
            <c:strRef>
              <c:f>Débit!$A$7:$A$13</c:f>
              <c:strCache>
                <c:ptCount val="7"/>
                <c:pt idx="0">
                  <c:v>Fichier public · 32 Kio</c:v>
                </c:pt>
                <c:pt idx="1">
                  <c:v>Pages · statique</c:v>
                </c:pt>
                <c:pt idx="2">
                  <c:v>App · statique</c:v>
                </c:pt>
                <c:pt idx="3">
                  <c:v>Pages · SSR</c:v>
                </c:pt>
                <c:pt idx="4">
                  <c:v>App · SSR</c:v>
                </c:pt>
                <c:pt idx="5">
                  <c:v>API Pages</c:v>
                </c:pt>
                <c:pt idx="6">
                  <c:v>API App</c:v>
                </c:pt>
              </c:strCache>
            </c:strRef>
          </c:cat>
          <c:val>
            <c:numRef>
              <c:f>Débit!$C$7:$C$13</c:f>
              <c:numCache>
                <c:formatCode>General</c:formatCode>
                <c:ptCount val="7"/>
                <c:pt idx="0">
                  <c:v>33163.28026280401</c:v>
                </c:pt>
                <c:pt idx="1">
                  <c:v>22361.97601196066</c:v>
                </c:pt>
                <c:pt idx="2">
                  <c:v>21733.509802740213</c:v>
                </c:pt>
                <c:pt idx="3">
                  <c:v>10052.746965301763</c:v>
                </c:pt>
                <c:pt idx="4">
                  <c:v>1767.5410684418757</c:v>
                </c:pt>
                <c:pt idx="5">
                  <c:v>17160.20032399102</c:v>
                </c:pt>
                <c:pt idx="6">
                  <c:v>15072.041990985457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in val="0"/>
        </c:scaling>
        <c:axPos val="t"/>
        <c:majorGridlines>
          <c:spPr>
            <a:ln>
              <a:solidFill>
                <a:srgbClr val="DFE7EE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Réponses/s — plus = mieux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</c:valAx>
      <c:spPr>
        <a:ln>
          <a:noFill/>
        </a:ln>
      </c:spPr>
    </c:plotArea>
    <c:legend>
      <c:legendPos val="b"/>
      <c:layout/>
      <c:txPr>
        <a:bodyPr/>
        <a:lstStyle/>
        <a:p>
          <a:pPr>
            <a:defRPr sz="10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aseline="0">
                <a:solidFill>
                  <a:srgbClr val="172D43"/>
                </a:solidFill>
                <a:latin typeface="Aptos"/>
              </a:defRPr>
            </a:pPr>
            <a:r>
              <a:rPr lang="en-US" sz="1300" baseline="0">
                <a:solidFill>
                  <a:srgbClr val="172D43"/>
                </a:solidFill>
                <a:latin typeface="Aptos"/>
              </a:rPr>
              <a:t>CPU avec compression HTTP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Next.js</c:v>
          </c:tx>
          <c:spPr>
            <a:solidFill>
              <a:srgbClr val="61728A"/>
            </a:solidFill>
            <a:ln>
              <a:noFill/>
            </a:ln>
          </c:spPr>
          <c:cat>
            <c:strRef>
              <c:f>Gzip!$A$7:$A$9</c:f>
              <c:strCache>
                <c:ptCount val="3"/>
                <c:pt idx="0">
                  <c:v>Fichier public · 32 Kio</c:v>
                </c:pt>
                <c:pt idx="1">
                  <c:v>Pages · statique</c:v>
                </c:pt>
                <c:pt idx="2">
                  <c:v>App · statique</c:v>
                </c:pt>
              </c:strCache>
            </c:strRef>
          </c:cat>
          <c:val>
            <c:numRef>
              <c:f>Gzip!$B$7:$B$9</c:f>
              <c:numCache>
                <c:formatCode>General</c:formatCode>
                <c:ptCount val="3"/>
                <c:pt idx="0">
                  <c:v>0.16957289577010784</c:v>
                </c:pt>
                <c:pt idx="1">
                  <c:v>0.16709937579406728</c:v>
                </c:pt>
                <c:pt idx="2">
                  <c:v>0.2610717280280509</c:v>
                </c:pt>
              </c:numCache>
            </c:numRef>
          </c:val>
        </c:ser>
        <c:ser>
          <c:idx val="1"/>
          <c:order val="1"/>
          <c:tx>
            <c:v>Rustyx</c:v>
          </c:tx>
          <c:spPr>
            <a:solidFill>
              <a:srgbClr val="008B7C"/>
            </a:solidFill>
            <a:ln>
              <a:noFill/>
            </a:ln>
          </c:spPr>
          <c:cat>
            <c:strRef>
              <c:f>Gzip!$A$7:$A$9</c:f>
              <c:strCache>
                <c:ptCount val="3"/>
                <c:pt idx="0">
                  <c:v>Fichier public · 32 Kio</c:v>
                </c:pt>
                <c:pt idx="1">
                  <c:v>Pages · statique</c:v>
                </c:pt>
                <c:pt idx="2">
                  <c:v>App · statique</c:v>
                </c:pt>
              </c:strCache>
            </c:strRef>
          </c:cat>
          <c:val>
            <c:numRef>
              <c:f>Gzip!$C$7:$C$9</c:f>
              <c:numCache>
                <c:formatCode>General</c:formatCode>
                <c:ptCount val="3"/>
                <c:pt idx="0">
                  <c:v>0.10107062959411953</c:v>
                </c:pt>
                <c:pt idx="1">
                  <c:v>0.1486450768398132</c:v>
                </c:pt>
                <c:pt idx="2">
                  <c:v>0.14454822038289336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in val="0"/>
        </c:scaling>
        <c:axPos val="t"/>
        <c:majorGridlines>
          <c:spPr>
            <a:ln>
              <a:solidFill>
                <a:srgbClr val="DFE7EE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ms / réponse valide — moins = mieux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  <c:spPr>
        <a:ln>
          <a:noFill/>
        </a:ln>
      </c:spPr>
    </c:plotArea>
    <c:legend>
      <c:legendPos val="b"/>
      <c:layout/>
      <c:txPr>
        <a:bodyPr/>
        <a:lstStyle/>
        <a:p>
          <a:pPr>
            <a:defRPr sz="10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781050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781050</xdr:colOff>
      <xdr:row>33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781050</xdr:colOff>
      <xdr:row>33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781050</xdr:colOff>
      <xdr:row>33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781050</xdr:colOff>
      <xdr:row>27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8B7C"/>
    <pageSetUpPr fitToPage="1"/>
  </sheetPr>
  <dimension ref="A1:M43"/>
  <sheetViews>
    <sheetView showGridLines="0" tabSelected="1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29.7109375" customWidth="1"/>
    <col min="2" max="13" width="15.7109375" customWidth="1"/>
  </cols>
  <sheetData>
    <row r="1" spans="1:13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spans="1:13">
      <c r="A6" s="3" t="s">
        <v>194</v>
      </c>
      <c r="B6" s="3"/>
      <c r="C6" s="3"/>
      <c r="D6" s="3"/>
      <c r="E6" s="3" t="s">
        <v>195</v>
      </c>
      <c r="F6" s="3"/>
      <c r="G6" s="3"/>
      <c r="H6" s="3"/>
      <c r="I6" s="3" t="s">
        <v>196</v>
      </c>
      <c r="J6" s="3"/>
      <c r="K6" s="3"/>
      <c r="L6" s="3"/>
    </row>
    <row r="7" spans="1:13">
      <c r="A7" s="4">
        <f>'Global'!D8</f>
        <v>0.3543872919818457</v>
      </c>
      <c r="B7" s="4"/>
      <c r="C7" s="4"/>
      <c r="D7" s="4"/>
      <c r="E7" s="4">
        <f>'Global'!D9</f>
        <v>0.14750520278158474</v>
      </c>
      <c r="F7" s="4"/>
      <c r="G7" s="4"/>
      <c r="H7" s="4"/>
      <c r="I7" s="4">
        <f>'Global'!D7</f>
        <v>0.5531160761705353</v>
      </c>
      <c r="J7" s="4"/>
      <c r="K7" s="4"/>
      <c r="L7" s="4"/>
    </row>
    <row r="8" spans="1:1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1" spans="1:13">
      <c r="A11" s="5" t="s">
        <v>197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32" spans="1:6" ht="32" customHeight="1">
      <c r="A32" s="3" t="s">
        <v>147</v>
      </c>
      <c r="B32" s="3" t="s">
        <v>198</v>
      </c>
      <c r="C32" s="3" t="s">
        <v>177</v>
      </c>
      <c r="D32" s="3" t="s">
        <v>199</v>
      </c>
      <c r="E32" s="3" t="s">
        <v>200</v>
      </c>
      <c r="F32" s="3" t="s">
        <v>201</v>
      </c>
    </row>
    <row r="33" spans="1:12" ht="25" customHeight="1">
      <c r="A33" s="6" t="s">
        <v>154</v>
      </c>
      <c r="B33" s="7">
        <f>'Mémoire'!D7</f>
        <v>0.9605011053795136</v>
      </c>
      <c r="C33" s="7">
        <f>'CPU'!D7</f>
        <v>0.14169540519031454</v>
      </c>
      <c r="D33" s="8">
        <f>'Débit'!D7</f>
        <v>1.412865326569549</v>
      </c>
      <c r="E33" s="6" t="s">
        <v>132</v>
      </c>
      <c r="F33" s="6" t="s">
        <v>132</v>
      </c>
    </row>
    <row r="34" spans="1:12" ht="25" customHeight="1">
      <c r="A34" s="6" t="s">
        <v>155</v>
      </c>
      <c r="B34" s="7">
        <f>'Mémoire'!D8</f>
        <v>0.9649372668701255</v>
      </c>
      <c r="C34" s="7">
        <f>'CPU'!D8</f>
        <v>-0.2752707566326147</v>
      </c>
      <c r="D34" s="8">
        <f>'Débit'!D8</f>
        <v>1.9970574965243477</v>
      </c>
      <c r="E34" s="6" t="s">
        <v>132</v>
      </c>
      <c r="F34" s="6" t="s">
        <v>131</v>
      </c>
    </row>
    <row r="35" spans="1:12" ht="25" customHeight="1">
      <c r="A35" s="6" t="s">
        <v>156</v>
      </c>
      <c r="B35" s="7">
        <f>'Mémoire'!D9</f>
        <v>0.9641104912964581</v>
      </c>
      <c r="C35" s="7">
        <f>'CPU'!D9</f>
        <v>0.0609392076987495</v>
      </c>
      <c r="D35" s="8">
        <f>'Débit'!D9</f>
        <v>2.692953283772798</v>
      </c>
      <c r="E35" s="6" t="s">
        <v>132</v>
      </c>
      <c r="F35" s="6" t="s">
        <v>132</v>
      </c>
    </row>
    <row r="36" spans="1:12" ht="25" customHeight="1">
      <c r="A36" s="6" t="s">
        <v>157</v>
      </c>
      <c r="B36" s="7">
        <f>'Mémoire'!D10</f>
        <v>0.4829779274223719</v>
      </c>
      <c r="C36" s="7">
        <f>'CPU'!D10</f>
        <v>0.661633843909555</v>
      </c>
      <c r="D36" s="8">
        <f>'Débit'!D10</f>
        <v>2.8903159915769163</v>
      </c>
      <c r="E36" s="6" t="s">
        <v>132</v>
      </c>
      <c r="F36" s="6" t="s">
        <v>132</v>
      </c>
    </row>
    <row r="37" spans="1:12" ht="25" customHeight="1">
      <c r="A37" s="6" t="s">
        <v>158</v>
      </c>
      <c r="B37" s="7">
        <f>'Mémoire'!D11</f>
        <v>0.08746894679068695</v>
      </c>
      <c r="C37" s="7">
        <f>'CPU'!D11</f>
        <v>0.2600441304724247</v>
      </c>
      <c r="D37" s="8">
        <f>'Débit'!D11</f>
        <v>1.518411679454357</v>
      </c>
      <c r="E37" s="6" t="s">
        <v>132</v>
      </c>
      <c r="F37" s="6" t="s">
        <v>132</v>
      </c>
    </row>
    <row r="38" spans="1:12" ht="25" customHeight="1">
      <c r="A38" s="6" t="s">
        <v>159</v>
      </c>
      <c r="B38" s="7">
        <f>'Mémoire'!D12</f>
        <v>0.4042524377031419</v>
      </c>
      <c r="C38" s="7">
        <f>'CPU'!D12</f>
        <v>-0.19707285198195335</v>
      </c>
      <c r="D38" s="8">
        <f>'Débit'!D12</f>
        <v>1.300792761324783</v>
      </c>
      <c r="E38" s="6" t="s">
        <v>132</v>
      </c>
      <c r="F38" s="6" t="s">
        <v>131</v>
      </c>
    </row>
    <row r="39" spans="1:12" ht="25" customHeight="1">
      <c r="A39" s="6" t="s">
        <v>160</v>
      </c>
      <c r="B39" s="7">
        <f>'Mémoire'!D13</f>
        <v>0.35026572735137806</v>
      </c>
      <c r="C39" s="7">
        <f>'CPU'!D13</f>
        <v>0.38888963562933565</v>
      </c>
      <c r="D39" s="8">
        <f>'Débit'!D13</f>
        <v>2.212516160221127</v>
      </c>
      <c r="E39" s="6" t="s">
        <v>132</v>
      </c>
      <c r="F39" s="6" t="s">
        <v>132</v>
      </c>
    </row>
    <row r="41" spans="1:12">
      <c r="A41" s="5" t="s">
        <v>202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</sheetData>
  <mergeCells count="10">
    <mergeCell ref="A1:M2"/>
    <mergeCell ref="A3:M4"/>
    <mergeCell ref="A6:D6"/>
    <mergeCell ref="A7:D9"/>
    <mergeCell ref="E6:H6"/>
    <mergeCell ref="E7:H9"/>
    <mergeCell ref="I6:L6"/>
    <mergeCell ref="I7:L9"/>
    <mergeCell ref="A11:L12"/>
    <mergeCell ref="A41:L43"/>
  </mergeCells>
  <conditionalFormatting sqref="B33:B39">
    <cfRule type="cellIs" dxfId="0" priority="1" operator="greaterThanOrEqual">
      <formula>0.05</formula>
    </cfRule>
    <cfRule type="cellIs" dxfId="1" priority="2" operator="lessThanOrEqual">
      <formula>-0.05</formula>
    </cfRule>
  </conditionalFormatting>
  <conditionalFormatting sqref="C33:C39">
    <cfRule type="cellIs" dxfId="0" priority="3" operator="greaterThanOrEqual">
      <formula>0.05</formula>
    </cfRule>
    <cfRule type="cellIs" dxfId="1" priority="4" operator="lessThanOrEqual">
      <formula>-0.05</formula>
    </cfRule>
  </conditionalFormatting>
  <pageMargins left="0.3" right="0.3" top="0.4" bottom="0.4" header="0.3" footer="0.3"/>
  <pageSetup paperSize="9" orientation="landscape"/>
  <headerFooter>
    <oddFooter>&amp;LComparatif local • 23/09/2026&amp;RPage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8B7C"/>
    <pageSetUpPr fitToPage="1"/>
  </sheetPr>
  <dimension ref="A1:J31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29.7109375" customWidth="1"/>
    <col min="2" max="10" width="15.7109375" customWidth="1"/>
  </cols>
  <sheetData>
    <row r="1" spans="1:10" ht="32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6" spans="1:10" ht="32" customHeight="1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134</v>
      </c>
    </row>
    <row r="7" spans="1:10" ht="25" customHeight="1">
      <c r="A7" s="6" t="s">
        <v>135</v>
      </c>
      <c r="B7" s="9">
        <f>MEDIAN('Brut'!$F$37,'Brut'!$F$38,'Brut'!$F$39)/1000</f>
        <v>21.520698541999998</v>
      </c>
      <c r="C7" s="9">
        <f>MEDIAN('Brut'!$F$40,'Brut'!$F$41,'Brut'!$F$42)/1000</f>
        <v>9.617254208</v>
      </c>
      <c r="D7" s="7">
        <f>1-C7/B7</f>
        <v>0.5531160761705353</v>
      </c>
      <c r="E7" s="6" t="s">
        <v>132</v>
      </c>
    </row>
    <row r="8" spans="1:10" ht="25" customHeight="1">
      <c r="A8" s="6" t="s">
        <v>136</v>
      </c>
      <c r="B8" s="9">
        <f>MEDIAN('Brut'!$G$37,'Brut'!$G$38,'Brut'!$G$39)/1000</f>
        <v>26.44</v>
      </c>
      <c r="C8" s="9">
        <f>MEDIAN('Brut'!$G$40,'Brut'!$G$41,'Brut'!$G$42)/1000</f>
        <v>17.07</v>
      </c>
      <c r="D8" s="7">
        <f>1-C8/B8</f>
        <v>0.3543872919818457</v>
      </c>
      <c r="E8" s="6" t="s">
        <v>132</v>
      </c>
    </row>
    <row r="9" spans="1:10" ht="25" customHeight="1">
      <c r="A9" s="6" t="s">
        <v>137</v>
      </c>
      <c r="B9" s="9">
        <f>MEDIAN('Brut'!$I$37,'Brut'!$I$38,'Brut'!$I$39)</f>
        <v>307.828125</v>
      </c>
      <c r="C9" s="9">
        <f>MEDIAN('Brut'!$I$40,'Brut'!$I$41,'Brut'!$I$42)</f>
        <v>262.421875</v>
      </c>
      <c r="D9" s="7">
        <f>1-C9/B9</f>
        <v>0.14750520278158474</v>
      </c>
      <c r="E9" s="6" t="s">
        <v>132</v>
      </c>
    </row>
    <row r="10" spans="1:10" ht="25" customHeight="1">
      <c r="A10" s="6" t="s">
        <v>138</v>
      </c>
      <c r="B10" s="9">
        <f>MEDIAN('Brut'!$J$37,'Brut'!$J$38,'Brut'!$J$39)</f>
        <v>312.15625</v>
      </c>
      <c r="C10" s="9">
        <f>MEDIAN('Brut'!$J$40,'Brut'!$J$41,'Brut'!$J$42)</f>
        <v>269.15625</v>
      </c>
      <c r="D10" s="7">
        <f>1-C10/B10</f>
        <v>0.1377515266793473</v>
      </c>
      <c r="E10" s="6" t="s">
        <v>132</v>
      </c>
    </row>
    <row r="14" spans="1:10" ht="32" customHeight="1">
      <c r="A14" s="3" t="s">
        <v>18</v>
      </c>
      <c r="B14" s="3" t="s">
        <v>20</v>
      </c>
      <c r="C14" s="3" t="s">
        <v>139</v>
      </c>
      <c r="D14" s="3" t="s">
        <v>136</v>
      </c>
      <c r="E14" s="3" t="s">
        <v>140</v>
      </c>
      <c r="F14" s="3" t="s">
        <v>141</v>
      </c>
      <c r="G14" s="3" t="s">
        <v>142</v>
      </c>
      <c r="H14" s="3" t="s">
        <v>30</v>
      </c>
      <c r="I14" s="3" t="s">
        <v>143</v>
      </c>
    </row>
    <row r="15" spans="1:10">
      <c r="A15" s="9" t="s">
        <v>41</v>
      </c>
      <c r="B15" s="9">
        <v>1</v>
      </c>
      <c r="C15" s="9">
        <v>21.520698542</v>
      </c>
      <c r="D15" s="9">
        <v>26.44</v>
      </c>
      <c r="E15" s="9">
        <v>311.046875</v>
      </c>
      <c r="F15" s="9">
        <v>313.203125</v>
      </c>
      <c r="G15" s="9">
        <v>70000</v>
      </c>
      <c r="H15" s="9">
        <v>3.347874999999931</v>
      </c>
      <c r="I15" s="9">
        <v>1.228584655298221</v>
      </c>
    </row>
    <row r="16" spans="1:10">
      <c r="A16" s="9" t="s">
        <v>41</v>
      </c>
      <c r="B16" s="9">
        <v>2</v>
      </c>
      <c r="C16" s="9">
        <v>21.60777225</v>
      </c>
      <c r="D16" s="9">
        <v>26.57</v>
      </c>
      <c r="E16" s="9">
        <v>303.515625</v>
      </c>
      <c r="F16" s="9">
        <v>309.71875</v>
      </c>
      <c r="G16" s="9">
        <v>70000</v>
      </c>
      <c r="H16" s="9">
        <v>3.354832999999417</v>
      </c>
      <c r="I16" s="9">
        <v>1.229650132025989</v>
      </c>
    </row>
    <row r="17" spans="1:10">
      <c r="A17" s="9" t="s">
        <v>41</v>
      </c>
      <c r="B17" s="9">
        <v>3</v>
      </c>
      <c r="C17" s="9">
        <v>21.343135167</v>
      </c>
      <c r="D17" s="9">
        <v>26.22</v>
      </c>
      <c r="E17" s="9">
        <v>307.828125</v>
      </c>
      <c r="F17" s="9">
        <v>312.15625</v>
      </c>
      <c r="G17" s="9">
        <v>70000</v>
      </c>
      <c r="H17" s="9">
        <v>3.322707999999693</v>
      </c>
      <c r="I17" s="9">
        <v>1.228498053113604</v>
      </c>
    </row>
    <row r="18" spans="1:10">
      <c r="A18" s="9" t="s">
        <v>47</v>
      </c>
      <c r="B18" s="9">
        <v>1</v>
      </c>
      <c r="C18" s="9">
        <v>9.617254208</v>
      </c>
      <c r="D18" s="9">
        <v>17.25</v>
      </c>
      <c r="E18" s="9">
        <v>260.5</v>
      </c>
      <c r="F18" s="9">
        <v>266.859375</v>
      </c>
      <c r="G18" s="9">
        <v>70000</v>
      </c>
      <c r="H18" s="9">
        <v>1.214624999999614</v>
      </c>
      <c r="I18" s="9">
        <v>1.793651246698958</v>
      </c>
    </row>
    <row r="19" spans="1:10">
      <c r="A19" s="9" t="s">
        <v>47</v>
      </c>
      <c r="B19" s="9">
        <v>2</v>
      </c>
      <c r="C19" s="9">
        <v>9.56993325</v>
      </c>
      <c r="D19" s="9">
        <v>17.07</v>
      </c>
      <c r="E19" s="9">
        <v>262.421875</v>
      </c>
      <c r="F19" s="9">
        <v>269.15625</v>
      </c>
      <c r="G19" s="9">
        <v>70000</v>
      </c>
      <c r="H19" s="9">
        <v>1.196791999998823</v>
      </c>
      <c r="I19" s="9">
        <v>1.783711500809057</v>
      </c>
    </row>
    <row r="20" spans="1:10">
      <c r="A20" s="9" t="s">
        <v>47</v>
      </c>
      <c r="B20" s="9">
        <v>3</v>
      </c>
      <c r="C20" s="9">
        <v>9.625839124999999</v>
      </c>
      <c r="D20" s="9">
        <v>16.94</v>
      </c>
      <c r="E20" s="9">
        <v>265.484375</v>
      </c>
      <c r="F20" s="9">
        <v>269.765625</v>
      </c>
      <c r="G20" s="9">
        <v>70000</v>
      </c>
      <c r="H20" s="9">
        <v>1.233165999999983</v>
      </c>
      <c r="I20" s="9">
        <v>1.759846573376012</v>
      </c>
    </row>
    <row r="24" spans="1:10" ht="32" customHeight="1">
      <c r="A24" s="3" t="s">
        <v>144</v>
      </c>
      <c r="B24" s="3" t="s">
        <v>145</v>
      </c>
      <c r="C24" s="3" t="s">
        <v>132</v>
      </c>
    </row>
    <row r="25" spans="1:10" ht="25" customHeight="1">
      <c r="A25" s="6" t="s">
        <v>135</v>
      </c>
      <c r="B25" s="9">
        <v>100</v>
      </c>
      <c r="C25" s="9">
        <f>100*C7/B7</f>
        <v>44.688392382946475</v>
      </c>
    </row>
    <row r="26" spans="1:10" ht="25" customHeight="1">
      <c r="A26" s="6" t="s">
        <v>136</v>
      </c>
      <c r="B26" s="9">
        <v>100</v>
      </c>
      <c r="C26" s="9">
        <f>100*C8/B8</f>
        <v>64.56127080181543</v>
      </c>
    </row>
    <row r="27" spans="1:10" ht="25" customHeight="1">
      <c r="A27" s="6" t="s">
        <v>137</v>
      </c>
      <c r="B27" s="9">
        <v>100</v>
      </c>
      <c r="C27" s="9">
        <f>100*C9/B9</f>
        <v>85.24947972184152</v>
      </c>
    </row>
    <row r="29" spans="1:10">
      <c r="A29" s="5" t="s">
        <v>146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</sheetData>
  <mergeCells count="3">
    <mergeCell ref="A1:J2"/>
    <mergeCell ref="A3:J4"/>
    <mergeCell ref="A29:J31"/>
  </mergeCells>
  <conditionalFormatting sqref="D7:D10">
    <cfRule type="cellIs" dxfId="0" priority="1" operator="greaterThanOrEqual">
      <formula>0.05</formula>
    </cfRule>
    <cfRule type="cellIs" dxfId="1" priority="2" operator="lessThanOrEqual">
      <formula>-0.05</formula>
    </cfRule>
  </conditionalFormatting>
  <pageMargins left="0.3" right="0.3" top="0.4" bottom="0.4" header="0.3" footer="0.3"/>
  <pageSetup paperSize="9" fitToHeight="0" orientation="landscape"/>
  <headerFooter>
    <oddFooter>&amp;LComparatif local • 23/09/2026&amp;RPage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8B7C"/>
    <pageSetUpPr fitToPage="1"/>
  </sheetPr>
  <dimension ref="A1:J1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29.7109375" customWidth="1"/>
    <col min="2" max="10" width="15.7109375" customWidth="1"/>
  </cols>
  <sheetData>
    <row r="1" spans="1:10" ht="32" customHeight="1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5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6" spans="1:10" ht="32" customHeight="1">
      <c r="A6" s="3" t="s">
        <v>147</v>
      </c>
      <c r="B6" s="3" t="s">
        <v>148</v>
      </c>
      <c r="C6" s="3" t="s">
        <v>149</v>
      </c>
      <c r="D6" s="3" t="s">
        <v>133</v>
      </c>
      <c r="E6" s="3" t="s">
        <v>134</v>
      </c>
      <c r="F6" s="3" t="s">
        <v>150</v>
      </c>
      <c r="G6" s="3" t="s">
        <v>151</v>
      </c>
      <c r="H6" s="3" t="s">
        <v>152</v>
      </c>
      <c r="I6" s="3" t="s">
        <v>153</v>
      </c>
    </row>
    <row r="7" spans="1:10" ht="25" customHeight="1">
      <c r="A7" s="6" t="s">
        <v>154</v>
      </c>
      <c r="B7" s="9">
        <f>MEDIAN('Brut'!$I$73,'Brut'!$I$74,'Brut'!$I$75)</f>
        <v>212.03125</v>
      </c>
      <c r="C7" s="9">
        <f>MEDIAN('Brut'!$I$76,'Brut'!$I$77,'Brut'!$I$78)</f>
        <v>8.375</v>
      </c>
      <c r="D7" s="7">
        <f>1-C7/B7</f>
        <v>0.9605011053795136</v>
      </c>
      <c r="E7" s="6" t="s">
        <v>132</v>
      </c>
      <c r="F7" s="9">
        <v>211.96875</v>
      </c>
      <c r="G7" s="9">
        <v>212.359375</v>
      </c>
      <c r="H7" s="9">
        <v>8.34375</v>
      </c>
      <c r="I7" s="9">
        <v>8.421875</v>
      </c>
    </row>
    <row r="8" spans="1:10" ht="25" customHeight="1">
      <c r="A8" s="6" t="s">
        <v>155</v>
      </c>
      <c r="B8" s="9">
        <f>MEDIAN('Brut'!$I$61,'Brut'!$I$62,'Brut'!$I$63)</f>
        <v>230.390625</v>
      </c>
      <c r="C8" s="9">
        <f>MEDIAN('Brut'!$I$64,'Brut'!$I$65,'Brut'!$I$66)</f>
        <v>8.078125</v>
      </c>
      <c r="D8" s="7">
        <f>1-C8/B8</f>
        <v>0.9649372668701255</v>
      </c>
      <c r="E8" s="6" t="s">
        <v>132</v>
      </c>
      <c r="F8" s="9">
        <v>229.515625</v>
      </c>
      <c r="G8" s="9">
        <v>231.4375</v>
      </c>
      <c r="H8" s="9">
        <v>8.015625</v>
      </c>
      <c r="I8" s="9">
        <v>8.09375</v>
      </c>
    </row>
    <row r="9" spans="1:10" ht="25" customHeight="1">
      <c r="A9" s="6" t="s">
        <v>156</v>
      </c>
      <c r="B9" s="9">
        <f>MEDIAN('Brut'!$I$25,'Brut'!$I$26,'Brut'!$I$27)</f>
        <v>232.484375</v>
      </c>
      <c r="C9" s="9">
        <f>MEDIAN('Brut'!$I$28,'Brut'!$I$29,'Brut'!$I$30)</f>
        <v>8.34375</v>
      </c>
      <c r="D9" s="7">
        <f>1-C9/B9</f>
        <v>0.9641104912964581</v>
      </c>
      <c r="E9" s="6" t="s">
        <v>132</v>
      </c>
      <c r="F9" s="9">
        <v>227.46875</v>
      </c>
      <c r="G9" s="9">
        <v>235.375</v>
      </c>
      <c r="H9" s="9">
        <v>8.3125</v>
      </c>
      <c r="I9" s="9">
        <v>8.359375</v>
      </c>
    </row>
    <row r="10" spans="1:10" ht="25" customHeight="1">
      <c r="A10" s="6" t="s">
        <v>157</v>
      </c>
      <c r="B10" s="9">
        <f>MEDIAN('Brut'!$I$49,'Brut'!$I$50,'Brut'!$I$51)</f>
        <v>208.828125</v>
      </c>
      <c r="C10" s="9">
        <f>MEDIAN('Brut'!$I$52,'Brut'!$I$53,'Brut'!$I$54)</f>
        <v>107.96875</v>
      </c>
      <c r="D10" s="7">
        <f>1-C10/B10</f>
        <v>0.4829779274223719</v>
      </c>
      <c r="E10" s="6" t="s">
        <v>132</v>
      </c>
      <c r="F10" s="9">
        <v>207.765625</v>
      </c>
      <c r="G10" s="9">
        <v>211.96875</v>
      </c>
      <c r="H10" s="9">
        <v>107.296875</v>
      </c>
      <c r="I10" s="9">
        <v>110.09375</v>
      </c>
    </row>
    <row r="11" spans="1:10" ht="25" customHeight="1">
      <c r="A11" s="6" t="s">
        <v>158</v>
      </c>
      <c r="B11" s="9">
        <f>MEDIAN('Brut'!$I$13,'Brut'!$I$14,'Brut'!$I$15)</f>
        <v>270.453125</v>
      </c>
      <c r="C11" s="9">
        <f>MEDIAN('Brut'!$I$16,'Brut'!$I$17,'Brut'!$I$18)</f>
        <v>246.796875</v>
      </c>
      <c r="D11" s="7">
        <f>1-C11/B11</f>
        <v>0.08746894679068695</v>
      </c>
      <c r="E11" s="6" t="s">
        <v>132</v>
      </c>
      <c r="F11" s="9">
        <v>265.765625</v>
      </c>
      <c r="G11" s="9">
        <v>285.328125</v>
      </c>
      <c r="H11" s="9">
        <v>246.265625</v>
      </c>
      <c r="I11" s="9">
        <v>252.25</v>
      </c>
    </row>
    <row r="12" spans="1:10" ht="25" customHeight="1">
      <c r="A12" s="6" t="s">
        <v>159</v>
      </c>
      <c r="B12" s="9">
        <f>MEDIAN('Brut'!$I$43,'Brut'!$I$44,'Brut'!$I$45)</f>
        <v>230.75</v>
      </c>
      <c r="C12" s="9">
        <f>MEDIAN('Brut'!$I$46,'Brut'!$I$47,'Brut'!$I$48)</f>
        <v>137.46875</v>
      </c>
      <c r="D12" s="7">
        <f>1-C12/B12</f>
        <v>0.4042524377031419</v>
      </c>
      <c r="E12" s="6" t="s">
        <v>132</v>
      </c>
      <c r="F12" s="9">
        <v>227.453125</v>
      </c>
      <c r="G12" s="9">
        <v>232.546875</v>
      </c>
      <c r="H12" s="9">
        <v>137.03125</v>
      </c>
      <c r="I12" s="9">
        <v>140.40625</v>
      </c>
    </row>
    <row r="13" spans="1:10" ht="25" customHeight="1">
      <c r="A13" s="6" t="s">
        <v>160</v>
      </c>
      <c r="B13" s="9">
        <f>MEDIAN('Brut'!$I$7,'Brut'!$I$8,'Brut'!$I$9)</f>
        <v>252.84375</v>
      </c>
      <c r="C13" s="9">
        <f>MEDIAN('Brut'!$I$10,'Brut'!$I$11,'Brut'!$I$12)</f>
        <v>164.28125</v>
      </c>
      <c r="D13" s="7">
        <f>1-C13/B13</f>
        <v>0.35026572735137806</v>
      </c>
      <c r="E13" s="6" t="s">
        <v>132</v>
      </c>
      <c r="F13" s="9">
        <v>244.90625</v>
      </c>
      <c r="G13" s="9">
        <v>253.40625</v>
      </c>
      <c r="H13" s="9">
        <v>163.0625</v>
      </c>
      <c r="I13" s="9">
        <v>167.515625</v>
      </c>
    </row>
  </sheetData>
  <mergeCells count="2">
    <mergeCell ref="A1:J2"/>
    <mergeCell ref="A3:J4"/>
  </mergeCells>
  <conditionalFormatting sqref="D7:D13">
    <cfRule type="cellIs" dxfId="0" priority="1" operator="greaterThanOrEqual">
      <formula>0.05</formula>
    </cfRule>
    <cfRule type="cellIs" dxfId="1" priority="2" operator="lessThanOrEqual">
      <formula>-0.05</formula>
    </cfRule>
  </conditionalFormatting>
  <pageMargins left="0.3" right="0.3" top="0.4" bottom="0.4" header="0.3" footer="0.3"/>
  <pageSetup paperSize="9" fitToHeight="0" orientation="landscape"/>
  <headerFooter>
    <oddFooter>&amp;LComparatif local • 23/09/2026&amp;RPage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8B7C"/>
    <pageSetUpPr fitToPage="1"/>
  </sheetPr>
  <dimension ref="A1:J1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29.7109375" customWidth="1"/>
    <col min="2" max="10" width="15.7109375" customWidth="1"/>
  </cols>
  <sheetData>
    <row r="1" spans="1:10" ht="32" customHeight="1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7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6" spans="1:10" ht="32" customHeight="1">
      <c r="A6" s="3" t="s">
        <v>147</v>
      </c>
      <c r="B6" s="3" t="s">
        <v>161</v>
      </c>
      <c r="C6" s="3" t="s">
        <v>162</v>
      </c>
      <c r="D6" s="3" t="s">
        <v>133</v>
      </c>
      <c r="E6" s="3" t="s">
        <v>134</v>
      </c>
      <c r="F6" s="3" t="s">
        <v>150</v>
      </c>
      <c r="G6" s="3" t="s">
        <v>151</v>
      </c>
      <c r="H6" s="3" t="s">
        <v>152</v>
      </c>
      <c r="I6" s="3" t="s">
        <v>153</v>
      </c>
    </row>
    <row r="7" spans="1:10" ht="25" customHeight="1">
      <c r="A7" s="6" t="s">
        <v>154</v>
      </c>
      <c r="B7" s="10">
        <f>MEDIAN('Brut'!$H$73,'Brut'!$H$74,'Brut'!$H$75)</f>
        <v>0.07236568651483016</v>
      </c>
      <c r="C7" s="10">
        <f>MEDIAN('Brut'!$H$76,'Brut'!$H$77,'Brut'!$H$78)</f>
        <v>0.062111801242236024</v>
      </c>
      <c r="D7" s="7">
        <f>1-C7/B7</f>
        <v>0.14169540519031454</v>
      </c>
      <c r="E7" s="6" t="s">
        <v>132</v>
      </c>
      <c r="F7" s="10">
        <v>0.07188651515474238</v>
      </c>
      <c r="G7" s="10">
        <v>0.07238200668469121</v>
      </c>
      <c r="H7" s="10">
        <v>0.05962613975148522</v>
      </c>
      <c r="I7" s="10">
        <v>0.06308413030135879</v>
      </c>
    </row>
    <row r="8" spans="1:10" ht="25" customHeight="1">
      <c r="A8" s="6" t="s">
        <v>155</v>
      </c>
      <c r="B8" s="10">
        <f>MEDIAN('Brut'!$H$61,'Brut'!$H$62,'Brut'!$H$63)</f>
        <v>0.10581538118093538</v>
      </c>
      <c r="C8" s="10">
        <f>MEDIAN('Brut'!$H$64,'Brut'!$H$65,'Brut'!$H$66)</f>
        <v>0.13494326122198</v>
      </c>
      <c r="D8" s="7">
        <f>1-C8/B8</f>
        <v>-0.2752707566326147</v>
      </c>
      <c r="E8" s="6" t="s">
        <v>131</v>
      </c>
      <c r="F8" s="10">
        <v>0.1051907414393822</v>
      </c>
      <c r="G8" s="10">
        <v>0.1061637699337036</v>
      </c>
      <c r="H8" s="10">
        <v>0.1298421884917006</v>
      </c>
      <c r="I8" s="10">
        <v>0.1351502414594885</v>
      </c>
    </row>
    <row r="9" spans="1:10" ht="25" customHeight="1">
      <c r="A9" s="6" t="s">
        <v>156</v>
      </c>
      <c r="B9" s="10">
        <f>MEDIAN('Brut'!$H$25,'Brut'!$H$26,'Brut'!$H$27)</f>
        <v>0.14563257211910885</v>
      </c>
      <c r="C9" s="10">
        <f>MEDIAN('Brut'!$H$28,'Brut'!$H$29,'Brut'!$H$30)</f>
        <v>0.13675783855903936</v>
      </c>
      <c r="D9" s="7">
        <f>1-C9/B9</f>
        <v>0.0609392076987495</v>
      </c>
      <c r="E9" s="6" t="s">
        <v>132</v>
      </c>
      <c r="F9" s="10">
        <v>0.1451284895544463</v>
      </c>
      <c r="G9" s="10">
        <v>0.1458791464056741</v>
      </c>
      <c r="H9" s="10">
        <v>0.1309774964838256</v>
      </c>
      <c r="I9" s="10">
        <v>0.1386831515717035</v>
      </c>
    </row>
    <row r="10" spans="1:10" ht="25" customHeight="1">
      <c r="A10" s="6" t="s">
        <v>157</v>
      </c>
      <c r="B10" s="10">
        <f>MEDIAN('Brut'!$H$49,'Brut'!$H$50,'Brut'!$H$51)</f>
        <v>0.388014658331537</v>
      </c>
      <c r="C10" s="10">
        <f>MEDIAN('Brut'!$H$52,'Brut'!$H$53,'Brut'!$H$54)</f>
        <v>0.13129102844638948</v>
      </c>
      <c r="D10" s="7">
        <f>1-C10/B10</f>
        <v>0.661633843909555</v>
      </c>
      <c r="E10" s="6" t="s">
        <v>132</v>
      </c>
      <c r="F10" s="10">
        <v>0.3837664649341402</v>
      </c>
      <c r="G10" s="10">
        <v>0.3908443100842151</v>
      </c>
      <c r="H10" s="10">
        <v>0.1310508844076698</v>
      </c>
      <c r="I10" s="10">
        <v>0.1320990743057293</v>
      </c>
    </row>
    <row r="11" spans="1:10" ht="25" customHeight="1">
      <c r="A11" s="6" t="s">
        <v>158</v>
      </c>
      <c r="B11" s="10">
        <f>MEDIAN('Brut'!$H$13,'Brut'!$H$14,'Brut'!$H$15)</f>
        <v>1.146414770287677</v>
      </c>
      <c r="C11" s="10">
        <f>MEDIAN('Brut'!$H$16,'Brut'!$H$17,'Brut'!$H$18)</f>
        <v>0.8482963381874735</v>
      </c>
      <c r="D11" s="7">
        <f>1-C11/B11</f>
        <v>0.2600441304724247</v>
      </c>
      <c r="E11" s="6" t="s">
        <v>132</v>
      </c>
      <c r="F11" s="10">
        <v>1.144629867351305</v>
      </c>
      <c r="G11" s="10">
        <v>1.156006914433881</v>
      </c>
      <c r="H11" s="10">
        <v>0.8445134867956503</v>
      </c>
      <c r="I11" s="10">
        <v>0.8564448915074004</v>
      </c>
    </row>
    <row r="12" spans="1:10" ht="25" customHeight="1">
      <c r="A12" s="6" t="s">
        <v>159</v>
      </c>
      <c r="B12" s="10">
        <f>MEDIAN('Brut'!$H$43,'Brut'!$H$44,'Brut'!$H$45)</f>
        <v>0.09284875127903892</v>
      </c>
      <c r="C12" s="10">
        <f>MEDIAN('Brut'!$H$46,'Brut'!$H$47,'Brut'!$H$48)</f>
        <v>0.11114671949656217</v>
      </c>
      <c r="D12" s="7">
        <f>1-C12/B12</f>
        <v>-0.19707285198195335</v>
      </c>
      <c r="E12" s="6" t="s">
        <v>131</v>
      </c>
      <c r="F12" s="10">
        <v>0.09243570917579728</v>
      </c>
      <c r="G12" s="10">
        <v>0.09326147613041318</v>
      </c>
      <c r="H12" s="10">
        <v>0.1102133949456826</v>
      </c>
      <c r="I12" s="10">
        <v>0.1113673517048108</v>
      </c>
    </row>
    <row r="13" spans="1:10" ht="25" customHeight="1">
      <c r="A13" s="6" t="s">
        <v>160</v>
      </c>
      <c r="B13" s="10">
        <f>MEDIAN('Brut'!$H$7,'Brut'!$H$8,'Brut'!$H$9)</f>
        <v>0.18970388581073644</v>
      </c>
      <c r="C13" s="10">
        <f>MEDIAN('Brut'!$H$10,'Brut'!$H$11,'Brut'!$H$12)</f>
        <v>0.11593001078033005</v>
      </c>
      <c r="D13" s="7">
        <f>1-C13/B13</f>
        <v>0.38888963562933565</v>
      </c>
      <c r="E13" s="6" t="s">
        <v>132</v>
      </c>
      <c r="F13" s="10">
        <v>0.1885272906981001</v>
      </c>
      <c r="G13" s="10">
        <v>0.1901281057333776</v>
      </c>
      <c r="H13" s="10">
        <v>0.115128323546876</v>
      </c>
      <c r="I13" s="10">
        <v>0.1173835427262623</v>
      </c>
    </row>
  </sheetData>
  <mergeCells count="2">
    <mergeCell ref="A1:J2"/>
    <mergeCell ref="A3:J4"/>
  </mergeCells>
  <conditionalFormatting sqref="D7:D13">
    <cfRule type="cellIs" dxfId="0" priority="1" operator="greaterThanOrEqual">
      <formula>0.05</formula>
    </cfRule>
    <cfRule type="cellIs" dxfId="1" priority="2" operator="lessThanOrEqual">
      <formula>-0.05</formula>
    </cfRule>
  </conditionalFormatting>
  <pageMargins left="0.3" right="0.3" top="0.4" bottom="0.4" header="0.3" footer="0.3"/>
  <pageSetup paperSize="9" fitToHeight="0" orientation="landscape"/>
  <headerFooter>
    <oddFooter>&amp;LComparatif local • 23/09/2026&amp;RPage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1728A"/>
    <pageSetUpPr fitToPage="1"/>
  </sheetPr>
  <dimension ref="A1:J39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29.7109375" customWidth="1"/>
    <col min="2" max="10" width="15.7109375" customWidth="1"/>
  </cols>
  <sheetData>
    <row r="1" spans="1:10" ht="32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9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6" spans="1:10" ht="32" customHeight="1">
      <c r="A6" s="3" t="s">
        <v>147</v>
      </c>
      <c r="B6" s="3" t="s">
        <v>163</v>
      </c>
      <c r="C6" s="3" t="s">
        <v>164</v>
      </c>
      <c r="D6" s="3" t="s">
        <v>165</v>
      </c>
      <c r="E6" s="3" t="s">
        <v>166</v>
      </c>
      <c r="F6" s="3" t="s">
        <v>167</v>
      </c>
      <c r="G6" s="3" t="s">
        <v>168</v>
      </c>
    </row>
    <row r="7" spans="1:10" ht="25" customHeight="1">
      <c r="A7" s="6" t="s">
        <v>154</v>
      </c>
      <c r="B7" s="11">
        <f>MEDIAN('Brut'!$K$73,'Brut'!$K$74,'Brut'!$K$75)</f>
        <v>23472.35765444452</v>
      </c>
      <c r="C7" s="11">
        <f>MEDIAN('Brut'!$K$76,'Brut'!$K$77,'Brut'!$K$78)</f>
        <v>33163.28026280401</v>
      </c>
      <c r="D7" s="8">
        <f>C7/B7</f>
        <v>1.412865326569549</v>
      </c>
      <c r="E7" s="10">
        <f>MEDIAN('Brut'!$M$73,'Brut'!$M$74,'Brut'!$M$75)</f>
        <v>0.24950000000001182</v>
      </c>
      <c r="F7" s="10">
        <f>MEDIAN('Brut'!$M$76,'Brut'!$M$77,'Brut'!$M$78)</f>
        <v>0.17995799999994233</v>
      </c>
      <c r="G7" s="6" t="s">
        <v>132</v>
      </c>
    </row>
    <row r="8" spans="1:10" ht="25" customHeight="1">
      <c r="A8" s="6" t="s">
        <v>155</v>
      </c>
      <c r="B8" s="11">
        <f>MEDIAN('Brut'!$K$61,'Brut'!$K$62,'Brut'!$K$63)</f>
        <v>11197.462291836438</v>
      </c>
      <c r="C8" s="11">
        <f>MEDIAN('Brut'!$K$64,'Brut'!$K$65,'Brut'!$K$66)</f>
        <v>22361.97601196066</v>
      </c>
      <c r="D8" s="8">
        <f>C8/B8</f>
        <v>1.9970574965243477</v>
      </c>
      <c r="E8" s="10">
        <f>MEDIAN('Brut'!$M$61,'Brut'!$M$62,'Brut'!$M$63)</f>
        <v>0.6255000000001019</v>
      </c>
      <c r="F8" s="10">
        <f>MEDIAN('Brut'!$M$64,'Brut'!$M$65,'Brut'!$M$66)</f>
        <v>0.24233299999998792</v>
      </c>
      <c r="G8" s="6" t="s">
        <v>132</v>
      </c>
    </row>
    <row r="9" spans="1:10" ht="25" customHeight="1">
      <c r="A9" s="6" t="s">
        <v>156</v>
      </c>
      <c r="B9" s="11">
        <f>MEDIAN('Brut'!$K$25,'Brut'!$K$26,'Brut'!$K$27)</f>
        <v>8070.511261261765</v>
      </c>
      <c r="C9" s="11">
        <f>MEDIAN('Brut'!$K$28,'Brut'!$K$29,'Brut'!$K$30)</f>
        <v>21733.509802740213</v>
      </c>
      <c r="D9" s="8">
        <f>C9/B9</f>
        <v>2.692953283772798</v>
      </c>
      <c r="E9" s="10">
        <f>MEDIAN('Brut'!$M$25,'Brut'!$M$26,'Brut'!$M$27)</f>
        <v>0.8198750000000246</v>
      </c>
      <c r="F9" s="10">
        <f>MEDIAN('Brut'!$M$28,'Brut'!$M$29,'Brut'!$M$30)</f>
        <v>0.25125000000025466</v>
      </c>
      <c r="G9" s="6" t="s">
        <v>132</v>
      </c>
    </row>
    <row r="10" spans="1:10" ht="25" customHeight="1">
      <c r="A10" s="6" t="s">
        <v>157</v>
      </c>
      <c r="B10" s="11">
        <f>MEDIAN('Brut'!$K$49,'Brut'!$K$50,'Brut'!$K$51)</f>
        <v>3478.078865631963</v>
      </c>
      <c r="C10" s="11">
        <f>MEDIAN('Brut'!$K$52,'Brut'!$K$53,'Brut'!$K$54)</f>
        <v>10052.746965301763</v>
      </c>
      <c r="D10" s="8">
        <f>C10/B10</f>
        <v>2.8903159915769163</v>
      </c>
      <c r="E10" s="10">
        <f>MEDIAN('Brut'!$M$49,'Brut'!$M$50,'Brut'!$M$51)</f>
        <v>2.0466659999999592</v>
      </c>
      <c r="F10" s="10">
        <f>MEDIAN('Brut'!$M$52,'Brut'!$M$53,'Brut'!$M$54)</f>
        <v>0.48808300000001736</v>
      </c>
      <c r="G10" s="6" t="s">
        <v>132</v>
      </c>
    </row>
    <row r="11" spans="1:10" ht="25" customHeight="1">
      <c r="A11" s="6" t="s">
        <v>158</v>
      </c>
      <c r="B11" s="11">
        <f>MEDIAN('Brut'!$K$13,'Brut'!$K$14,'Brut'!$K$15)</f>
        <v>1164.072360848175</v>
      </c>
      <c r="C11" s="11">
        <f>MEDIAN('Brut'!$K$16,'Brut'!$K$17,'Brut'!$K$18)</f>
        <v>1767.5410684418757</v>
      </c>
      <c r="D11" s="8">
        <f>C11/B11</f>
        <v>1.518411679454357</v>
      </c>
      <c r="E11" s="10">
        <f>MEDIAN('Brut'!$M$13,'Brut'!$M$14,'Brut'!$M$15)</f>
        <v>4.436249999999973</v>
      </c>
      <c r="F11" s="10">
        <f>MEDIAN('Brut'!$M$16,'Brut'!$M$17,'Brut'!$M$18)</f>
        <v>3.0017079999999936</v>
      </c>
      <c r="G11" s="6" t="s">
        <v>132</v>
      </c>
    </row>
    <row r="12" spans="1:10" ht="25" customHeight="1">
      <c r="A12" s="6" t="s">
        <v>159</v>
      </c>
      <c r="B12" s="11">
        <f>MEDIAN('Brut'!$K$43,'Brut'!$K$44,'Brut'!$K$45)</f>
        <v>13192.109330708712</v>
      </c>
      <c r="C12" s="11">
        <f>MEDIAN('Brut'!$K$46,'Brut'!$K$47,'Brut'!$K$48)</f>
        <v>17160.20032399102</v>
      </c>
      <c r="D12" s="8">
        <f>C12/B12</f>
        <v>1.300792761324783</v>
      </c>
      <c r="E12" s="10">
        <f>MEDIAN('Brut'!$M$43,'Brut'!$M$44,'Brut'!$M$45)</f>
        <v>0.5283750000000964</v>
      </c>
      <c r="F12" s="10">
        <f>MEDIAN('Brut'!$M$46,'Brut'!$M$47,'Brut'!$M$48)</f>
        <v>0.3225840000000062</v>
      </c>
      <c r="G12" s="6" t="s">
        <v>132</v>
      </c>
    </row>
    <row r="13" spans="1:10" ht="25" customHeight="1">
      <c r="A13" s="6" t="s">
        <v>160</v>
      </c>
      <c r="B13" s="11">
        <f>MEDIAN('Brut'!$K$7,'Brut'!$K$8,'Brut'!$K$9)</f>
        <v>6812.172612325282</v>
      </c>
      <c r="C13" s="11">
        <f>MEDIAN('Brut'!$K$10,'Brut'!$K$11,'Brut'!$K$12)</f>
        <v>15072.041990985457</v>
      </c>
      <c r="D13" s="8">
        <f>C13/B13</f>
        <v>2.212516160221127</v>
      </c>
      <c r="E13" s="10">
        <f>MEDIAN('Brut'!$M$7,'Brut'!$M$8,'Brut'!$M$9)</f>
        <v>1.183208000000036</v>
      </c>
      <c r="F13" s="10">
        <f>MEDIAN('Brut'!$M$10,'Brut'!$M$11,'Brut'!$M$12)</f>
        <v>0.3820410000000152</v>
      </c>
      <c r="G13" s="6" t="s">
        <v>132</v>
      </c>
    </row>
    <row r="37" spans="1:5" ht="32" customHeight="1">
      <c r="A37" s="3" t="s">
        <v>169</v>
      </c>
      <c r="B37" s="3" t="s">
        <v>170</v>
      </c>
      <c r="C37" s="3" t="s">
        <v>171</v>
      </c>
      <c r="D37" s="3" t="s">
        <v>172</v>
      </c>
      <c r="E37" s="3" t="s">
        <v>173</v>
      </c>
    </row>
    <row r="38" spans="1:5" ht="25" customHeight="1">
      <c r="A38" s="6" t="s">
        <v>95</v>
      </c>
      <c r="B38" s="11">
        <v>0</v>
      </c>
      <c r="C38" s="11">
        <v>0</v>
      </c>
      <c r="D38" s="10">
        <f>MEDIAN('Brut'!$M$55,'Brut'!$M$56,'Brut'!$M$57)</f>
        <v>4.552000000000021</v>
      </c>
      <c r="E38" s="10">
        <f>MEDIAN('Brut'!$M$58,'Brut'!$M$59,'Brut'!$M$60)</f>
        <v>1.058250000000001</v>
      </c>
    </row>
    <row r="39" spans="1:5" ht="25" customHeight="1">
      <c r="A39" s="6" t="s">
        <v>58</v>
      </c>
      <c r="B39" s="11">
        <v>0</v>
      </c>
      <c r="C39" s="11">
        <v>0</v>
      </c>
      <c r="D39" s="10">
        <f>MEDIAN('Brut'!$M$19,'Brut'!$M$20,'Brut'!$M$21)</f>
        <v>8.431749999999965</v>
      </c>
      <c r="E39" s="10">
        <f>MEDIAN('Brut'!$M$22,'Brut'!$M$23,'Brut'!$M$24)</f>
        <v>6.081083999999976</v>
      </c>
    </row>
  </sheetData>
  <mergeCells count="2">
    <mergeCell ref="A1:J2"/>
    <mergeCell ref="A3:J4"/>
  </mergeCells>
  <pageMargins left="0.3" right="0.3" top="0.4" bottom="0.4" header="0.3" footer="0.3"/>
  <pageSetup paperSize="9" fitToHeight="0" orientation="landscape"/>
  <headerFooter>
    <oddFooter>&amp;LComparatif local • 23/09/2026&amp;RPage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1728A"/>
    <pageSetUpPr fitToPage="1"/>
  </sheetPr>
  <dimension ref="A1:J9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29.7109375" customWidth="1"/>
    <col min="2" max="10" width="15.7109375" customWidth="1"/>
  </cols>
  <sheetData>
    <row r="1" spans="1:10" ht="32" customHeight="1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6" spans="1:10" ht="32" customHeight="1">
      <c r="A6" s="3" t="s">
        <v>174</v>
      </c>
      <c r="B6" s="3" t="s">
        <v>175</v>
      </c>
      <c r="C6" s="3" t="s">
        <v>176</v>
      </c>
      <c r="D6" s="3" t="s">
        <v>177</v>
      </c>
      <c r="E6" s="3" t="s">
        <v>178</v>
      </c>
      <c r="F6" s="3" t="s">
        <v>179</v>
      </c>
      <c r="G6" s="3" t="s">
        <v>163</v>
      </c>
      <c r="H6" s="3" t="s">
        <v>164</v>
      </c>
    </row>
    <row r="7" spans="1:10" ht="25" customHeight="1">
      <c r="A7" s="6" t="s">
        <v>154</v>
      </c>
      <c r="B7" s="10">
        <f>MEDIAN('Brut'!$H$79,'Brut'!$H$80,'Brut'!$H$81)</f>
        <v>0.16957289577010784</v>
      </c>
      <c r="C7" s="10">
        <f>MEDIAN('Brut'!$H$82,'Brut'!$H$83,'Brut'!$H$84)</f>
        <v>0.10107062959411953</v>
      </c>
      <c r="D7" s="7">
        <f>1-C7/B7</f>
        <v>0.4039694307565386</v>
      </c>
      <c r="E7" s="9">
        <f>MEDIAN('Brut'!$I$79,'Brut'!$I$80,'Brut'!$I$81)</f>
        <v>203.640625</v>
      </c>
      <c r="F7" s="9">
        <f>MEDIAN('Brut'!$I$82,'Brut'!$I$83,'Brut'!$I$84)</f>
        <v>17.234375</v>
      </c>
      <c r="G7" s="11">
        <f>MEDIAN('Brut'!$K$79,'Brut'!$K$80,'Brut'!$K$81)</f>
        <v>14579.186684746186</v>
      </c>
      <c r="H7" s="11">
        <f>MEDIAN('Brut'!$K$82,'Brut'!$K$83,'Brut'!$K$84)</f>
        <v>25029.614102094947</v>
      </c>
    </row>
    <row r="8" spans="1:10" ht="25" customHeight="1">
      <c r="A8" s="6" t="s">
        <v>155</v>
      </c>
      <c r="B8" s="10">
        <f>MEDIAN('Brut'!$H$67,'Brut'!$H$68,'Brut'!$H$69)</f>
        <v>0.16709937579406728</v>
      </c>
      <c r="C8" s="10">
        <f>MEDIAN('Brut'!$H$70,'Brut'!$H$71,'Brut'!$H$72)</f>
        <v>0.1486450768398132</v>
      </c>
      <c r="D8" s="7">
        <f>1-C8/B8</f>
        <v>0.1104390657748302</v>
      </c>
      <c r="E8" s="9">
        <f>MEDIAN('Brut'!$I$67,'Brut'!$I$68,'Brut'!$I$69)</f>
        <v>224.0</v>
      </c>
      <c r="F8" s="9">
        <f>MEDIAN('Brut'!$I$70,'Brut'!$I$71,'Brut'!$I$72)</f>
        <v>8.046875</v>
      </c>
      <c r="G8" s="11">
        <f>MEDIAN('Brut'!$K$67,'Brut'!$K$68,'Brut'!$K$69)</f>
        <v>9050.383596719215</v>
      </c>
      <c r="H8" s="11">
        <f>MEDIAN('Brut'!$K$70,'Brut'!$K$71,'Brut'!$K$72)</f>
        <v>19861.130697187844</v>
      </c>
    </row>
    <row r="9" spans="1:10" ht="25" customHeight="1">
      <c r="A9" s="6" t="s">
        <v>156</v>
      </c>
      <c r="B9" s="10">
        <f>MEDIAN('Brut'!$H$31,'Brut'!$H$32,'Brut'!$H$33)</f>
        <v>0.2610717280280509</v>
      </c>
      <c r="C9" s="10">
        <f>MEDIAN('Brut'!$H$34,'Brut'!$H$35,'Brut'!$H$36)</f>
        <v>0.14454822038289336</v>
      </c>
      <c r="D9" s="7">
        <f>1-C9/B9</f>
        <v>0.4463275611085611</v>
      </c>
      <c r="E9" s="9">
        <f>MEDIAN('Brut'!$I$31,'Brut'!$I$32,'Brut'!$I$33)</f>
        <v>226.34375</v>
      </c>
      <c r="F9" s="9">
        <f>MEDIAN('Brut'!$I$34,'Brut'!$I$35,'Brut'!$I$36)</f>
        <v>8.0</v>
      </c>
      <c r="G9" s="11">
        <f>MEDIAN('Brut'!$K$31,'Brut'!$K$32,'Brut'!$K$33)</f>
        <v>6530.947224369326</v>
      </c>
      <c r="H9" s="11">
        <f>MEDIAN('Brut'!$K$34,'Brut'!$K$35,'Brut'!$K$36)</f>
        <v>18815.216583098216</v>
      </c>
    </row>
  </sheetData>
  <mergeCells count="2">
    <mergeCell ref="A1:J2"/>
    <mergeCell ref="A3:J4"/>
  </mergeCells>
  <conditionalFormatting sqref="D7:D9">
    <cfRule type="cellIs" dxfId="0" priority="1" operator="greaterThanOrEqual">
      <formula>0.05</formula>
    </cfRule>
    <cfRule type="cellIs" dxfId="1" priority="2" operator="lessThanOrEqual">
      <formula>-0.05</formula>
    </cfRule>
  </conditionalFormatting>
  <pageMargins left="0.3" right="0.3" top="0.4" bottom="0.4" header="0.3" footer="0.3"/>
  <pageSetup paperSize="9" fitToHeight="0" orientation="landscape"/>
  <headerFooter>
    <oddFooter>&amp;LComparatif local • 23/09/2026&amp;RPage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1728A"/>
    <pageSetUpPr fitToPage="1"/>
  </sheetPr>
  <dimension ref="A1:J22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29.7109375" customWidth="1"/>
    <col min="2" max="4" width="15.7109375" customWidth="1"/>
    <col min="5" max="5" width="38.7109375" customWidth="1"/>
    <col min="6" max="10" width="15.7109375" customWidth="1"/>
  </cols>
  <sheetData>
    <row r="1" spans="1:10" ht="32" customHeight="1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6" spans="1:10" ht="32" customHeight="1">
      <c r="A6" s="3" t="s">
        <v>130</v>
      </c>
      <c r="B6" s="3" t="s">
        <v>131</v>
      </c>
      <c r="C6" s="3" t="s">
        <v>132</v>
      </c>
      <c r="D6" s="3" t="s">
        <v>133</v>
      </c>
      <c r="E6" s="3" t="s">
        <v>180</v>
      </c>
    </row>
    <row r="7" spans="1:10" ht="25" customHeight="1">
      <c r="A7" s="6" t="s">
        <v>181</v>
      </c>
      <c r="B7" s="9">
        <v>2.018579583</v>
      </c>
      <c r="C7" s="9">
        <v>0.509228083</v>
      </c>
      <c r="D7" s="7">
        <f>1-C7/B7</f>
        <v>0.747729498857217</v>
      </c>
      <c r="E7" s="12" t="s">
        <v>182</v>
      </c>
    </row>
    <row r="8" spans="1:10" ht="25" customHeight="1">
      <c r="A8" s="6" t="s">
        <v>183</v>
      </c>
      <c r="B8" s="9">
        <v>2105.796875</v>
      </c>
      <c r="C8" s="9">
        <v>208.796875</v>
      </c>
      <c r="D8" s="7">
        <f>1-C8/B8</f>
        <v>0.9008466213057705</v>
      </c>
      <c r="E8" s="12" t="s">
        <v>184</v>
      </c>
    </row>
    <row r="9" spans="1:10" ht="25" customHeight="1">
      <c r="A9" s="6" t="s">
        <v>185</v>
      </c>
      <c r="B9" s="9">
        <v>42.69922161102295</v>
      </c>
      <c r="C9" s="9">
        <v>4.088836669921875</v>
      </c>
      <c r="D9" s="7">
        <f>1-C9/B9</f>
        <v>0.904240955323028</v>
      </c>
      <c r="E9" s="12" t="s">
        <v>186</v>
      </c>
    </row>
    <row r="11" spans="1:10" ht="25" customHeight="1">
      <c r="A11" s="6" t="s">
        <v>187</v>
      </c>
      <c r="B11" s="9">
        <v>119.103515625</v>
      </c>
      <c r="C11" s="9">
        <v>84.248046875</v>
      </c>
      <c r="D11" s="7">
        <f>1-C11/B11</f>
        <v>0.2926485298699595</v>
      </c>
      <c r="E11" s="12" t="s">
        <v>188</v>
      </c>
    </row>
    <row r="12" spans="1:10" ht="25" customHeight="1">
      <c r="A12" s="6" t="s">
        <v>189</v>
      </c>
      <c r="B12" s="9">
        <v>130.564453125</v>
      </c>
      <c r="C12" s="9">
        <v>89.28515625</v>
      </c>
      <c r="D12" s="7">
        <f>1-C12/B12</f>
        <v>0.3161603015751918</v>
      </c>
      <c r="E12" s="12" t="s">
        <v>188</v>
      </c>
    </row>
    <row r="16" spans="1:10" ht="32" customHeight="1">
      <c r="A16" s="3" t="s">
        <v>190</v>
      </c>
      <c r="B16" s="3" t="s">
        <v>20</v>
      </c>
      <c r="C16" s="3" t="s">
        <v>191</v>
      </c>
      <c r="D16" s="3" t="s">
        <v>192</v>
      </c>
      <c r="E16" s="3" t="s">
        <v>193</v>
      </c>
    </row>
    <row r="17" spans="1:5">
      <c r="A17" s="9" t="s">
        <v>41</v>
      </c>
      <c r="B17" s="9">
        <v>1</v>
      </c>
      <c r="C17" s="9">
        <v>2.458184792</v>
      </c>
      <c r="D17" s="9">
        <v>2105.796875</v>
      </c>
      <c r="E17" s="9">
        <v>42.69922161102295</v>
      </c>
    </row>
    <row r="18" spans="1:5">
      <c r="A18" s="9" t="s">
        <v>47</v>
      </c>
      <c r="B18" s="9">
        <v>1</v>
      </c>
      <c r="C18" s="9">
        <v>0.6114015840000002</v>
      </c>
      <c r="D18" s="9">
        <v>198.5</v>
      </c>
      <c r="E18" s="9">
        <v>4.088850021362305</v>
      </c>
    </row>
    <row r="19" spans="1:5">
      <c r="A19" s="9" t="s">
        <v>47</v>
      </c>
      <c r="B19" s="9">
        <v>2</v>
      </c>
      <c r="C19" s="9">
        <v>0.509228083</v>
      </c>
      <c r="D19" s="9">
        <v>209.125</v>
      </c>
      <c r="E19" s="9">
        <v>4.088833808898926</v>
      </c>
    </row>
    <row r="20" spans="1:5">
      <c r="A20" s="9" t="s">
        <v>41</v>
      </c>
      <c r="B20" s="9">
        <v>2</v>
      </c>
      <c r="C20" s="9">
        <v>2.018579583</v>
      </c>
      <c r="D20" s="9">
        <v>2124.40625</v>
      </c>
      <c r="E20" s="9">
        <v>42.68555736541748</v>
      </c>
    </row>
    <row r="21" spans="1:5">
      <c r="A21" s="9" t="s">
        <v>41</v>
      </c>
      <c r="B21" s="9">
        <v>3</v>
      </c>
      <c r="C21" s="9">
        <v>1.996774459</v>
      </c>
      <c r="D21" s="9">
        <v>2070.8125</v>
      </c>
      <c r="E21" s="9">
        <v>42.70190715789795</v>
      </c>
    </row>
    <row r="22" spans="1:5">
      <c r="A22" s="9" t="s">
        <v>47</v>
      </c>
      <c r="B22" s="9">
        <v>3</v>
      </c>
      <c r="C22" s="9">
        <v>0.4952703330000004</v>
      </c>
      <c r="D22" s="9">
        <v>208.796875</v>
      </c>
      <c r="E22" s="9">
        <v>4.088836669921875</v>
      </c>
    </row>
  </sheetData>
  <mergeCells count="2">
    <mergeCell ref="A1:J2"/>
    <mergeCell ref="A3:J4"/>
  </mergeCells>
  <pageMargins left="0.3" right="0.3" top="0.4" bottom="0.4" header="0.3" footer="0.3"/>
  <pageSetup paperSize="9" fitToHeight="0" orientation="landscape"/>
  <headerFooter>
    <oddFooter>&amp;LComparatif local • 23/09/2026&amp;RPage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61728A"/>
    <pageSetUpPr fitToPage="1"/>
  </sheetPr>
  <dimension ref="A1:W84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29.7109375" customWidth="1"/>
    <col min="2" max="2" width="22.7109375" customWidth="1"/>
    <col min="3" max="22" width="15.7109375" customWidth="1"/>
    <col min="23" max="23" width="60.7109375" customWidth="1"/>
  </cols>
  <sheetData>
    <row r="1" spans="1:23" ht="32" customHeight="1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2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6" spans="1:23" ht="32" customHeight="1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  <c r="I6" s="3" t="s">
        <v>26</v>
      </c>
      <c r="J6" s="3" t="s">
        <v>27</v>
      </c>
      <c r="K6" s="3" t="s">
        <v>28</v>
      </c>
      <c r="L6" s="3" t="s">
        <v>29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34</v>
      </c>
      <c r="R6" s="3" t="s">
        <v>35</v>
      </c>
      <c r="S6" s="3" t="s">
        <v>36</v>
      </c>
      <c r="T6" s="3" t="s">
        <v>37</v>
      </c>
      <c r="U6" s="3" t="s">
        <v>38</v>
      </c>
      <c r="V6" s="3" t="s">
        <v>39</v>
      </c>
      <c r="W6" s="3" t="s">
        <v>40</v>
      </c>
    </row>
    <row r="7" spans="1:23">
      <c r="A7" s="6" t="s">
        <v>41</v>
      </c>
      <c r="B7" s="6" t="s">
        <v>42</v>
      </c>
      <c r="C7" s="9">
        <v>1</v>
      </c>
      <c r="D7" s="9">
        <v>4</v>
      </c>
      <c r="E7" s="9">
        <v>27253</v>
      </c>
      <c r="F7" s="9">
        <v>4000.632625</v>
      </c>
      <c r="G7" s="9">
        <v>5170</v>
      </c>
      <c r="H7" s="9">
        <v>0.1897038858107364</v>
      </c>
      <c r="I7" s="9">
        <v>252.84375</v>
      </c>
      <c r="J7" s="9">
        <v>266.640625</v>
      </c>
      <c r="K7" s="9">
        <v>6812.172612325282</v>
      </c>
      <c r="L7" s="9">
        <v>0.4526250000000118</v>
      </c>
      <c r="M7" s="9">
        <v>1.164750000000026</v>
      </c>
      <c r="N7" s="9">
        <v>1.563291</v>
      </c>
      <c r="O7" s="9">
        <v>0</v>
      </c>
      <c r="P7" s="9">
        <v>27253</v>
      </c>
      <c r="Q7" s="9">
        <v>155.1246249999967</v>
      </c>
      <c r="R7" s="9">
        <v>12.706958</v>
      </c>
      <c r="S7" s="9">
        <v>1105.816</v>
      </c>
      <c r="T7" s="9">
        <v>134.5924852309838</v>
      </c>
      <c r="U7" s="6" t="s">
        <v>43</v>
      </c>
      <c r="V7" s="9">
        <v>144.859375</v>
      </c>
      <c r="W7" s="6" t="s">
        <v>44</v>
      </c>
    </row>
    <row r="8" spans="1:23">
      <c r="A8" s="6" t="s">
        <v>41</v>
      </c>
      <c r="B8" s="6" t="s">
        <v>42</v>
      </c>
      <c r="C8" s="9">
        <v>2</v>
      </c>
      <c r="D8" s="9">
        <v>4</v>
      </c>
      <c r="E8" s="9">
        <v>27317</v>
      </c>
      <c r="F8" s="9">
        <v>4000.629583</v>
      </c>
      <c r="G8" s="9">
        <v>5150</v>
      </c>
      <c r="H8" s="9">
        <v>0.1885272906981001</v>
      </c>
      <c r="I8" s="9">
        <v>253.40625</v>
      </c>
      <c r="J8" s="9">
        <v>264.46875</v>
      </c>
      <c r="K8" s="9">
        <v>6828.175274231581</v>
      </c>
      <c r="L8" s="9">
        <v>0.4461250000003929</v>
      </c>
      <c r="M8" s="9">
        <v>1.183208000000036</v>
      </c>
      <c r="N8" s="9">
        <v>1.558458999999857</v>
      </c>
      <c r="O8" s="9">
        <v>0</v>
      </c>
      <c r="P8" s="9">
        <v>27317</v>
      </c>
      <c r="Q8" s="9">
        <v>154.4779580000031</v>
      </c>
      <c r="R8" s="9">
        <v>12.920875</v>
      </c>
      <c r="S8" s="9">
        <v>1098.114</v>
      </c>
      <c r="T8" s="9">
        <v>134.5934399824285</v>
      </c>
      <c r="U8" s="6" t="s">
        <v>43</v>
      </c>
      <c r="V8" s="9">
        <v>143.296875</v>
      </c>
      <c r="W8" s="6" t="s">
        <v>45</v>
      </c>
    </row>
    <row r="9" spans="1:23">
      <c r="A9" s="6" t="s">
        <v>41</v>
      </c>
      <c r="B9" s="6" t="s">
        <v>42</v>
      </c>
      <c r="C9" s="9">
        <v>3</v>
      </c>
      <c r="D9" s="9">
        <v>4</v>
      </c>
      <c r="E9" s="9">
        <v>27087</v>
      </c>
      <c r="F9" s="9">
        <v>4000.6055</v>
      </c>
      <c r="G9" s="9">
        <v>5150</v>
      </c>
      <c r="H9" s="9">
        <v>0.1901281057333776</v>
      </c>
      <c r="I9" s="9">
        <v>244.90625</v>
      </c>
      <c r="J9" s="9">
        <v>263.234375</v>
      </c>
      <c r="K9" s="9">
        <v>6770.72508149079</v>
      </c>
      <c r="L9" s="9">
        <v>0.4504579999999123</v>
      </c>
      <c r="M9" s="9">
        <v>1.18683400000009</v>
      </c>
      <c r="N9" s="9">
        <v>1.616750000000025</v>
      </c>
      <c r="O9" s="9">
        <v>0</v>
      </c>
      <c r="P9" s="9">
        <v>27087</v>
      </c>
      <c r="Q9" s="9">
        <v>153.3619580000523</v>
      </c>
      <c r="R9" s="9">
        <v>12.5555</v>
      </c>
      <c r="S9" s="9">
        <v>1105.512</v>
      </c>
      <c r="T9" s="9">
        <v>134.589987817034</v>
      </c>
      <c r="U9" s="6" t="s">
        <v>43</v>
      </c>
      <c r="V9" s="9">
        <v>143</v>
      </c>
      <c r="W9" s="6" t="s">
        <v>46</v>
      </c>
    </row>
    <row r="10" spans="1:23">
      <c r="A10" s="6" t="s">
        <v>47</v>
      </c>
      <c r="B10" s="6" t="s">
        <v>42</v>
      </c>
      <c r="C10" s="9">
        <v>1</v>
      </c>
      <c r="D10" s="9">
        <v>4</v>
      </c>
      <c r="E10" s="9">
        <v>60295</v>
      </c>
      <c r="F10" s="9">
        <v>4000.453292</v>
      </c>
      <c r="G10" s="9">
        <v>6990</v>
      </c>
      <c r="H10" s="9">
        <v>0.1159300107803301</v>
      </c>
      <c r="I10" s="9">
        <v>163.0625</v>
      </c>
      <c r="J10" s="9">
        <v>163.96875</v>
      </c>
      <c r="K10" s="9">
        <v>15072.04199098546</v>
      </c>
      <c r="L10" s="9">
        <v>0.2371250000001055</v>
      </c>
      <c r="M10" s="9">
        <v>0.3797080000000221</v>
      </c>
      <c r="N10" s="9">
        <v>0.6797500000002401</v>
      </c>
      <c r="O10" s="9">
        <v>0</v>
      </c>
      <c r="P10" s="9">
        <v>60295</v>
      </c>
      <c r="Q10" s="9">
        <v>27.79579199998989</v>
      </c>
      <c r="R10" s="9">
        <v>45.98008400000001</v>
      </c>
      <c r="S10" s="9">
        <v>2184.81</v>
      </c>
      <c r="T10" s="9">
        <v>134.8158056223567</v>
      </c>
      <c r="U10" s="6" t="s">
        <v>43</v>
      </c>
      <c r="V10" s="9">
        <v>86.375</v>
      </c>
      <c r="W10" s="6" t="s">
        <v>48</v>
      </c>
    </row>
    <row r="11" spans="1:23">
      <c r="A11" s="6" t="s">
        <v>47</v>
      </c>
      <c r="B11" s="6" t="s">
        <v>42</v>
      </c>
      <c r="C11" s="9">
        <v>2</v>
      </c>
      <c r="D11" s="9">
        <v>4</v>
      </c>
      <c r="E11" s="9">
        <v>59378</v>
      </c>
      <c r="F11" s="9">
        <v>4000.457417</v>
      </c>
      <c r="G11" s="9">
        <v>6970</v>
      </c>
      <c r="H11" s="9">
        <v>0.1173835427262623</v>
      </c>
      <c r="I11" s="9">
        <v>167.515625</v>
      </c>
      <c r="J11" s="9">
        <v>167.984375</v>
      </c>
      <c r="K11" s="9">
        <v>14842.80266243364</v>
      </c>
      <c r="L11" s="9">
        <v>0.2396659999999429</v>
      </c>
      <c r="M11" s="9">
        <v>0.3911669999999958</v>
      </c>
      <c r="N11" s="9">
        <v>0.6989169999999376</v>
      </c>
      <c r="O11" s="9">
        <v>0</v>
      </c>
      <c r="P11" s="9">
        <v>59378</v>
      </c>
      <c r="Q11" s="9">
        <v>28.49112500000047</v>
      </c>
      <c r="R11" s="9">
        <v>46.452</v>
      </c>
      <c r="S11" s="9">
        <v>2151.177</v>
      </c>
      <c r="T11" s="9">
        <v>134.8129610293375</v>
      </c>
      <c r="U11" s="6" t="s">
        <v>43</v>
      </c>
      <c r="V11" s="9">
        <v>88.828125</v>
      </c>
      <c r="W11" s="6" t="s">
        <v>49</v>
      </c>
    </row>
    <row r="12" spans="1:23">
      <c r="A12" s="6" t="s">
        <v>47</v>
      </c>
      <c r="B12" s="6" t="s">
        <v>42</v>
      </c>
      <c r="C12" s="9">
        <v>3</v>
      </c>
      <c r="D12" s="9">
        <v>4</v>
      </c>
      <c r="E12" s="9">
        <v>60628</v>
      </c>
      <c r="F12" s="9">
        <v>4000.716958</v>
      </c>
      <c r="G12" s="9">
        <v>6980</v>
      </c>
      <c r="H12" s="9">
        <v>0.115128323546876</v>
      </c>
      <c r="I12" s="9">
        <v>164.28125</v>
      </c>
      <c r="J12" s="9">
        <v>164.84375</v>
      </c>
      <c r="K12" s="9">
        <v>15154.28375375712</v>
      </c>
      <c r="L12" s="9">
        <v>0.2352500000001783</v>
      </c>
      <c r="M12" s="9">
        <v>0.3820410000000152</v>
      </c>
      <c r="N12" s="9">
        <v>0.6837909999999283</v>
      </c>
      <c r="O12" s="9">
        <v>0</v>
      </c>
      <c r="P12" s="9">
        <v>60628</v>
      </c>
      <c r="Q12" s="9">
        <v>28.54541700001573</v>
      </c>
      <c r="R12" s="9">
        <v>46.28945800000001</v>
      </c>
      <c r="S12" s="9">
        <v>2181.202</v>
      </c>
      <c r="T12" s="9">
        <v>134.816817312133</v>
      </c>
      <c r="U12" s="6" t="s">
        <v>43</v>
      </c>
      <c r="V12" s="9">
        <v>87.265625</v>
      </c>
      <c r="W12" s="6" t="s">
        <v>50</v>
      </c>
    </row>
    <row r="13" spans="1:23">
      <c r="A13" s="6" t="s">
        <v>41</v>
      </c>
      <c r="B13" s="6" t="s">
        <v>51</v>
      </c>
      <c r="C13" s="9">
        <v>1</v>
      </c>
      <c r="D13" s="9">
        <v>4</v>
      </c>
      <c r="E13" s="9">
        <v>4658</v>
      </c>
      <c r="F13" s="9">
        <v>4001.469459</v>
      </c>
      <c r="G13" s="9">
        <v>5340</v>
      </c>
      <c r="H13" s="9">
        <v>1.146414770287677</v>
      </c>
      <c r="I13" s="9">
        <v>265.765625</v>
      </c>
      <c r="J13" s="9">
        <v>275.546875</v>
      </c>
      <c r="K13" s="9">
        <v>1164.072360848175</v>
      </c>
      <c r="L13" s="9">
        <v>3.261624999999981</v>
      </c>
      <c r="M13" s="9">
        <v>4.40662500000002</v>
      </c>
      <c r="N13" s="9">
        <v>5.457707999999911</v>
      </c>
      <c r="O13" s="9">
        <v>0</v>
      </c>
      <c r="P13" s="9">
        <v>4658</v>
      </c>
      <c r="Q13" s="9">
        <v>152.8528329999972</v>
      </c>
      <c r="R13" s="9">
        <v>30.068667</v>
      </c>
      <c r="S13" s="9">
        <v>461.553</v>
      </c>
      <c r="T13" s="9">
        <v>22454.811721769</v>
      </c>
      <c r="U13" s="6" t="s">
        <v>43</v>
      </c>
      <c r="V13" s="9">
        <v>237.046875</v>
      </c>
      <c r="W13" s="6" t="s">
        <v>52</v>
      </c>
    </row>
    <row r="14" spans="1:23">
      <c r="A14" s="6" t="s">
        <v>41</v>
      </c>
      <c r="B14" s="6" t="s">
        <v>51</v>
      </c>
      <c r="C14" s="9">
        <v>2</v>
      </c>
      <c r="D14" s="9">
        <v>4</v>
      </c>
      <c r="E14" s="9">
        <v>4628</v>
      </c>
      <c r="F14" s="9">
        <v>4001.505084</v>
      </c>
      <c r="G14" s="9">
        <v>5350</v>
      </c>
      <c r="H14" s="9">
        <v>1.156006914433881</v>
      </c>
      <c r="I14" s="9">
        <v>285.328125</v>
      </c>
      <c r="J14" s="9">
        <v>293.640625</v>
      </c>
      <c r="K14" s="9">
        <v>1156.564818199291</v>
      </c>
      <c r="L14" s="9">
        <v>3.271375000000035</v>
      </c>
      <c r="M14" s="9">
        <v>4.473874999999907</v>
      </c>
      <c r="N14" s="9">
        <v>5.45458299999973</v>
      </c>
      <c r="O14" s="9">
        <v>0</v>
      </c>
      <c r="P14" s="9">
        <v>4628</v>
      </c>
      <c r="Q14" s="9">
        <v>152.0445840000175</v>
      </c>
      <c r="R14" s="9">
        <v>30.56287499999999</v>
      </c>
      <c r="S14" s="9">
        <v>469.262</v>
      </c>
      <c r="T14" s="9">
        <v>22454.80401901469</v>
      </c>
      <c r="U14" s="6" t="s">
        <v>43</v>
      </c>
      <c r="V14" s="9">
        <v>238.65625</v>
      </c>
      <c r="W14" s="6" t="s">
        <v>53</v>
      </c>
    </row>
    <row r="15" spans="1:23">
      <c r="A15" s="6" t="s">
        <v>41</v>
      </c>
      <c r="B15" s="6" t="s">
        <v>51</v>
      </c>
      <c r="C15" s="9">
        <v>3</v>
      </c>
      <c r="D15" s="9">
        <v>4</v>
      </c>
      <c r="E15" s="9">
        <v>4674</v>
      </c>
      <c r="F15" s="9">
        <v>4001.292125</v>
      </c>
      <c r="G15" s="9">
        <v>5350</v>
      </c>
      <c r="H15" s="9">
        <v>1.144629867351305</v>
      </c>
      <c r="I15" s="9">
        <v>270.453125</v>
      </c>
      <c r="J15" s="9">
        <v>278.484375</v>
      </c>
      <c r="K15" s="9">
        <v>1168.122659877027</v>
      </c>
      <c r="L15" s="9">
        <v>3.224459000000024</v>
      </c>
      <c r="M15" s="9">
        <v>4.436249999999973</v>
      </c>
      <c r="N15" s="9">
        <v>6.11587499999996</v>
      </c>
      <c r="O15" s="9">
        <v>0</v>
      </c>
      <c r="P15" s="9">
        <v>4674</v>
      </c>
      <c r="Q15" s="9">
        <v>155.0913750000182</v>
      </c>
      <c r="R15" s="9">
        <v>29.796291</v>
      </c>
      <c r="S15" s="9">
        <v>453.267</v>
      </c>
      <c r="T15" s="9">
        <v>22454.81578947368</v>
      </c>
      <c r="U15" s="6" t="s">
        <v>43</v>
      </c>
      <c r="V15" s="9">
        <v>239.6875</v>
      </c>
      <c r="W15" s="6" t="s">
        <v>54</v>
      </c>
    </row>
    <row r="16" spans="1:23">
      <c r="A16" s="6" t="s">
        <v>47</v>
      </c>
      <c r="B16" s="6" t="s">
        <v>51</v>
      </c>
      <c r="C16" s="9">
        <v>1</v>
      </c>
      <c r="D16" s="9">
        <v>4</v>
      </c>
      <c r="E16" s="9">
        <v>6959</v>
      </c>
      <c r="F16" s="9">
        <v>4002.037583</v>
      </c>
      <c r="G16" s="9">
        <v>5960</v>
      </c>
      <c r="H16" s="9">
        <v>0.8564448915074004</v>
      </c>
      <c r="I16" s="9">
        <v>252.25</v>
      </c>
      <c r="J16" s="9">
        <v>256.09375</v>
      </c>
      <c r="K16" s="9">
        <v>1738.864229951436</v>
      </c>
      <c r="L16" s="9">
        <v>2.13412500000004</v>
      </c>
      <c r="M16" s="9">
        <v>3.028208000000006</v>
      </c>
      <c r="N16" s="9">
        <v>4.288084000000026</v>
      </c>
      <c r="O16" s="9">
        <v>0</v>
      </c>
      <c r="P16" s="9">
        <v>6959</v>
      </c>
      <c r="Q16" s="9">
        <v>27.49458400000003</v>
      </c>
      <c r="R16" s="9">
        <v>121.452625</v>
      </c>
      <c r="S16" s="9">
        <v>864.713</v>
      </c>
      <c r="T16" s="9">
        <v>21138.20980025866</v>
      </c>
      <c r="U16" s="6" t="s">
        <v>43</v>
      </c>
      <c r="V16" s="9">
        <v>202.65625</v>
      </c>
      <c r="W16" s="6" t="s">
        <v>55</v>
      </c>
    </row>
    <row r="17" spans="1:23">
      <c r="A17" s="6" t="s">
        <v>47</v>
      </c>
      <c r="B17" s="6" t="s">
        <v>51</v>
      </c>
      <c r="C17" s="9">
        <v>2</v>
      </c>
      <c r="D17" s="9">
        <v>4</v>
      </c>
      <c r="E17" s="9">
        <v>7081</v>
      </c>
      <c r="F17" s="9">
        <v>4001.884917</v>
      </c>
      <c r="G17" s="9">
        <v>5980</v>
      </c>
      <c r="H17" s="9">
        <v>0.8445134867956503</v>
      </c>
      <c r="I17" s="9">
        <v>246.265625</v>
      </c>
      <c r="J17" s="9">
        <v>251.796875</v>
      </c>
      <c r="K17" s="9">
        <v>1769.416199331451</v>
      </c>
      <c r="L17" s="9">
        <v>2.090249999999969</v>
      </c>
      <c r="M17" s="9">
        <v>2.980707999999936</v>
      </c>
      <c r="N17" s="9">
        <v>4.261332999999922</v>
      </c>
      <c r="O17" s="9">
        <v>0</v>
      </c>
      <c r="P17" s="9">
        <v>7081</v>
      </c>
      <c r="Q17" s="9">
        <v>28.55758400002378</v>
      </c>
      <c r="R17" s="9">
        <v>112.618875</v>
      </c>
      <c r="S17" s="9">
        <v>880.644</v>
      </c>
      <c r="T17" s="9">
        <v>21138.22341477192</v>
      </c>
      <c r="U17" s="6" t="s">
        <v>43</v>
      </c>
      <c r="V17" s="9">
        <v>198.546875</v>
      </c>
      <c r="W17" s="6" t="s">
        <v>56</v>
      </c>
    </row>
    <row r="18" spans="1:23">
      <c r="A18" s="6" t="s">
        <v>47</v>
      </c>
      <c r="B18" s="6" t="s">
        <v>51</v>
      </c>
      <c r="C18" s="9">
        <v>3</v>
      </c>
      <c r="D18" s="9">
        <v>4</v>
      </c>
      <c r="E18" s="9">
        <v>7073</v>
      </c>
      <c r="F18" s="9">
        <v>4001.604334</v>
      </c>
      <c r="G18" s="9">
        <v>6000</v>
      </c>
      <c r="H18" s="9">
        <v>0.8482963381874735</v>
      </c>
      <c r="I18" s="9">
        <v>246.796875</v>
      </c>
      <c r="J18" s="9">
        <v>249.6875</v>
      </c>
      <c r="K18" s="9">
        <v>1767.541068441876</v>
      </c>
      <c r="L18" s="9">
        <v>2.081416999999874</v>
      </c>
      <c r="M18" s="9">
        <v>3.001707999999994</v>
      </c>
      <c r="N18" s="9">
        <v>4.573750000000018</v>
      </c>
      <c r="O18" s="9">
        <v>0</v>
      </c>
      <c r="P18" s="9">
        <v>7073</v>
      </c>
      <c r="Q18" s="9">
        <v>27.88966600003187</v>
      </c>
      <c r="R18" s="9">
        <v>111.757167</v>
      </c>
      <c r="S18" s="9">
        <v>850.381</v>
      </c>
      <c r="T18" s="9">
        <v>21138.22253640605</v>
      </c>
      <c r="U18" s="6" t="s">
        <v>43</v>
      </c>
      <c r="V18" s="9">
        <v>197.484375</v>
      </c>
      <c r="W18" s="6" t="s">
        <v>57</v>
      </c>
    </row>
    <row r="19" spans="1:23">
      <c r="A19" s="6" t="s">
        <v>41</v>
      </c>
      <c r="B19" s="6" t="s">
        <v>58</v>
      </c>
      <c r="C19" s="9">
        <v>1</v>
      </c>
      <c r="D19" s="9">
        <v>8</v>
      </c>
      <c r="E19" s="9">
        <v>2224</v>
      </c>
      <c r="F19" s="9">
        <v>2003.973334</v>
      </c>
      <c r="G19" s="9">
        <v>2820</v>
      </c>
      <c r="H19" s="9">
        <v>1.267985611510791</v>
      </c>
      <c r="I19" s="9">
        <v>266.125</v>
      </c>
      <c r="J19" s="9">
        <v>283.359375</v>
      </c>
      <c r="K19" s="9">
        <v>1109.795206486515</v>
      </c>
      <c r="L19" s="9">
        <v>7.188208000000031</v>
      </c>
      <c r="M19" s="9">
        <v>8.307667000000038</v>
      </c>
      <c r="N19" s="9">
        <v>11.43845899999997</v>
      </c>
      <c r="O19" s="9">
        <v>0</v>
      </c>
      <c r="P19" s="9">
        <v>2224</v>
      </c>
      <c r="Q19" s="9">
        <v>153.9983329999959</v>
      </c>
      <c r="R19" s="9">
        <v>30.437875</v>
      </c>
      <c r="S19" s="9">
        <v>236.698</v>
      </c>
      <c r="T19" s="9">
        <v>22453.51124100719</v>
      </c>
      <c r="U19" s="6" t="s">
        <v>43</v>
      </c>
      <c r="V19" s="9">
        <v>241.546875</v>
      </c>
      <c r="W19" s="6" t="s">
        <v>59</v>
      </c>
    </row>
    <row r="20" spans="1:23">
      <c r="A20" s="6" t="s">
        <v>41</v>
      </c>
      <c r="B20" s="6" t="s">
        <v>58</v>
      </c>
      <c r="C20" s="9">
        <v>2</v>
      </c>
      <c r="D20" s="9">
        <v>8</v>
      </c>
      <c r="E20" s="9">
        <v>2201</v>
      </c>
      <c r="F20" s="9">
        <v>2001.4335</v>
      </c>
      <c r="G20" s="9">
        <v>2810</v>
      </c>
      <c r="H20" s="9">
        <v>1.276692412539755</v>
      </c>
      <c r="I20" s="9">
        <v>260.109375</v>
      </c>
      <c r="J20" s="9">
        <v>281.9375</v>
      </c>
      <c r="K20" s="9">
        <v>1099.711781580552</v>
      </c>
      <c r="L20" s="9">
        <v>7.218999999999824</v>
      </c>
      <c r="M20" s="9">
        <v>8.45837499999999</v>
      </c>
      <c r="N20" s="9">
        <v>11.93408399999998</v>
      </c>
      <c r="O20" s="9">
        <v>0</v>
      </c>
      <c r="P20" s="9">
        <v>2201</v>
      </c>
      <c r="Q20" s="9">
        <v>154.9143750000221</v>
      </c>
      <c r="R20" s="9">
        <v>30.052916</v>
      </c>
      <c r="S20" s="9">
        <v>234.438</v>
      </c>
      <c r="T20" s="9">
        <v>22453.48523398455</v>
      </c>
      <c r="U20" s="6" t="s">
        <v>43</v>
      </c>
      <c r="V20" s="9">
        <v>241.828125</v>
      </c>
      <c r="W20" s="6" t="s">
        <v>60</v>
      </c>
    </row>
    <row r="21" spans="1:23">
      <c r="A21" s="6" t="s">
        <v>41</v>
      </c>
      <c r="B21" s="6" t="s">
        <v>58</v>
      </c>
      <c r="C21" s="9">
        <v>3</v>
      </c>
      <c r="D21" s="9">
        <v>8</v>
      </c>
      <c r="E21" s="9">
        <v>2226</v>
      </c>
      <c r="F21" s="9">
        <v>2002.532708</v>
      </c>
      <c r="G21" s="9">
        <v>2830</v>
      </c>
      <c r="H21" s="9">
        <v>1.271338724168913</v>
      </c>
      <c r="I21" s="9">
        <v>261.90625</v>
      </c>
      <c r="J21" s="9">
        <v>280.078125</v>
      </c>
      <c r="K21" s="9">
        <v>1111.592330605768</v>
      </c>
      <c r="L21" s="9">
        <v>7.121959000000004</v>
      </c>
      <c r="M21" s="9">
        <v>8.431749999999965</v>
      </c>
      <c r="N21" s="9">
        <v>12.13570899999991</v>
      </c>
      <c r="O21" s="9">
        <v>0</v>
      </c>
      <c r="P21" s="9">
        <v>2226</v>
      </c>
      <c r="Q21" s="9">
        <v>196.9346249999944</v>
      </c>
      <c r="R21" s="9">
        <v>30.220125</v>
      </c>
      <c r="S21" s="9">
        <v>232.142</v>
      </c>
      <c r="T21" s="9">
        <v>22453.51347708895</v>
      </c>
      <c r="U21" s="6" t="s">
        <v>43</v>
      </c>
      <c r="V21" s="9">
        <v>235.78125</v>
      </c>
      <c r="W21" s="6" t="s">
        <v>61</v>
      </c>
    </row>
    <row r="22" spans="1:23">
      <c r="A22" s="6" t="s">
        <v>47</v>
      </c>
      <c r="B22" s="6" t="s">
        <v>58</v>
      </c>
      <c r="C22" s="9">
        <v>1</v>
      </c>
      <c r="D22" s="9">
        <v>8</v>
      </c>
      <c r="E22" s="9">
        <v>3342</v>
      </c>
      <c r="F22" s="9">
        <v>2003.702375</v>
      </c>
      <c r="G22" s="9">
        <v>3120</v>
      </c>
      <c r="H22" s="9">
        <v>0.9335727109515261</v>
      </c>
      <c r="I22" s="9">
        <v>239.515625</v>
      </c>
      <c r="J22" s="9">
        <v>245.796875</v>
      </c>
      <c r="K22" s="9">
        <v>1667.912381448368</v>
      </c>
      <c r="L22" s="9">
        <v>4.651916000000028</v>
      </c>
      <c r="M22" s="9">
        <v>6.151207999999997</v>
      </c>
      <c r="N22" s="9">
        <v>7.819958000000042</v>
      </c>
      <c r="O22" s="9">
        <v>0</v>
      </c>
      <c r="P22" s="9">
        <v>3342</v>
      </c>
      <c r="Q22" s="9">
        <v>28.18491700000595</v>
      </c>
      <c r="R22" s="9">
        <v>112.214125</v>
      </c>
      <c r="S22" s="9">
        <v>508.824</v>
      </c>
      <c r="T22" s="9">
        <v>21137.35457809695</v>
      </c>
      <c r="U22" s="6" t="s">
        <v>43</v>
      </c>
      <c r="V22" s="9">
        <v>199.953125</v>
      </c>
      <c r="W22" s="6" t="s">
        <v>62</v>
      </c>
    </row>
    <row r="23" spans="1:23">
      <c r="A23" s="6" t="s">
        <v>47</v>
      </c>
      <c r="B23" s="6" t="s">
        <v>58</v>
      </c>
      <c r="C23" s="9">
        <v>2</v>
      </c>
      <c r="D23" s="9">
        <v>8</v>
      </c>
      <c r="E23" s="9">
        <v>3334</v>
      </c>
      <c r="F23" s="9">
        <v>2003.958291</v>
      </c>
      <c r="G23" s="9">
        <v>3130</v>
      </c>
      <c r="H23" s="9">
        <v>0.9388122375524895</v>
      </c>
      <c r="I23" s="9">
        <v>236.640625</v>
      </c>
      <c r="J23" s="9">
        <v>242.734375</v>
      </c>
      <c r="K23" s="9">
        <v>1663.707281221054</v>
      </c>
      <c r="L23" s="9">
        <v>4.641332999999918</v>
      </c>
      <c r="M23" s="9">
        <v>6.081083999999976</v>
      </c>
      <c r="N23" s="9">
        <v>7.830666000000065</v>
      </c>
      <c r="O23" s="9">
        <v>0</v>
      </c>
      <c r="P23" s="9">
        <v>3334</v>
      </c>
      <c r="Q23" s="9">
        <v>28.44675000000279</v>
      </c>
      <c r="R23" s="9">
        <v>112.225958</v>
      </c>
      <c r="S23" s="9">
        <v>504.393</v>
      </c>
      <c r="T23" s="9">
        <v>21137.35062987402</v>
      </c>
      <c r="U23" s="6" t="s">
        <v>43</v>
      </c>
      <c r="V23" s="9">
        <v>200.28125</v>
      </c>
      <c r="W23" s="6" t="s">
        <v>63</v>
      </c>
    </row>
    <row r="24" spans="1:23">
      <c r="A24" s="6" t="s">
        <v>47</v>
      </c>
      <c r="B24" s="6" t="s">
        <v>58</v>
      </c>
      <c r="C24" s="9">
        <v>3</v>
      </c>
      <c r="D24" s="9">
        <v>8</v>
      </c>
      <c r="E24" s="9">
        <v>3334</v>
      </c>
      <c r="F24" s="9">
        <v>2005.372</v>
      </c>
      <c r="G24" s="9">
        <v>3220</v>
      </c>
      <c r="H24" s="9">
        <v>0.9658068386322736</v>
      </c>
      <c r="I24" s="9">
        <v>241.40625</v>
      </c>
      <c r="J24" s="9">
        <v>247.953125</v>
      </c>
      <c r="K24" s="9">
        <v>1662.534432514267</v>
      </c>
      <c r="L24" s="9">
        <v>4.652417</v>
      </c>
      <c r="M24" s="9">
        <v>5.941957999999886</v>
      </c>
      <c r="N24" s="9">
        <v>8.174541999999974</v>
      </c>
      <c r="O24" s="9">
        <v>0</v>
      </c>
      <c r="P24" s="9">
        <v>3334</v>
      </c>
      <c r="Q24" s="9">
        <v>29.44804200000362</v>
      </c>
      <c r="R24" s="9">
        <v>112.298625</v>
      </c>
      <c r="S24" s="9">
        <v>504.92</v>
      </c>
      <c r="T24" s="9">
        <v>21137.35062987402</v>
      </c>
      <c r="U24" s="6" t="s">
        <v>43</v>
      </c>
      <c r="V24" s="9">
        <v>199.4375</v>
      </c>
      <c r="W24" s="6" t="s">
        <v>63</v>
      </c>
    </row>
    <row r="25" spans="1:23">
      <c r="A25" s="6" t="s">
        <v>41</v>
      </c>
      <c r="B25" s="6" t="s">
        <v>64</v>
      </c>
      <c r="C25" s="9">
        <v>1</v>
      </c>
      <c r="D25" s="9">
        <v>4</v>
      </c>
      <c r="E25" s="9">
        <v>32454</v>
      </c>
      <c r="F25" s="9">
        <v>4000.547292</v>
      </c>
      <c r="G25" s="9">
        <v>4710</v>
      </c>
      <c r="H25" s="9">
        <v>0.1451284895544463</v>
      </c>
      <c r="I25" s="9">
        <v>232.484375</v>
      </c>
      <c r="J25" s="9">
        <v>237.546875</v>
      </c>
      <c r="K25" s="9">
        <v>8112.390038457767</v>
      </c>
      <c r="L25" s="9">
        <v>0.3542079999997441</v>
      </c>
      <c r="M25" s="9">
        <v>0.8177909999999997</v>
      </c>
      <c r="N25" s="9">
        <v>1.197250000000167</v>
      </c>
      <c r="O25" s="9">
        <v>0</v>
      </c>
      <c r="P25" s="9">
        <v>32454</v>
      </c>
      <c r="Q25" s="9">
        <v>198.4669579999972</v>
      </c>
      <c r="R25" s="9">
        <v>11.829791</v>
      </c>
      <c r="S25" s="9">
        <v>1290.111</v>
      </c>
      <c r="T25" s="9">
        <v>22672</v>
      </c>
      <c r="U25" s="6" t="s">
        <v>43</v>
      </c>
      <c r="V25" s="9">
        <v>129.46875</v>
      </c>
      <c r="W25" s="6" t="s">
        <v>65</v>
      </c>
    </row>
    <row r="26" spans="1:23">
      <c r="A26" s="6" t="s">
        <v>41</v>
      </c>
      <c r="B26" s="6" t="s">
        <v>64</v>
      </c>
      <c r="C26" s="9">
        <v>2</v>
      </c>
      <c r="D26" s="9">
        <v>4</v>
      </c>
      <c r="E26" s="9">
        <v>32287</v>
      </c>
      <c r="F26" s="9">
        <v>4000.613958</v>
      </c>
      <c r="G26" s="9">
        <v>4710</v>
      </c>
      <c r="H26" s="9">
        <v>0.1458791464056741</v>
      </c>
      <c r="I26" s="9">
        <v>235.375</v>
      </c>
      <c r="J26" s="9">
        <v>240.0625</v>
      </c>
      <c r="K26" s="9">
        <v>8070.511261261765</v>
      </c>
      <c r="L26" s="9">
        <v>0.3550410000000284</v>
      </c>
      <c r="M26" s="9">
        <v>0.8198750000000246</v>
      </c>
      <c r="N26" s="9">
        <v>1.199875000000247</v>
      </c>
      <c r="O26" s="9">
        <v>0</v>
      </c>
      <c r="P26" s="9">
        <v>32287</v>
      </c>
      <c r="Q26" s="9">
        <v>153.8013749999809</v>
      </c>
      <c r="R26" s="9">
        <v>12.050709</v>
      </c>
      <c r="S26" s="9">
        <v>1290.073</v>
      </c>
      <c r="T26" s="9">
        <v>22672</v>
      </c>
      <c r="U26" s="6" t="s">
        <v>43</v>
      </c>
      <c r="V26" s="9">
        <v>129.703125</v>
      </c>
      <c r="W26" s="6" t="s">
        <v>66</v>
      </c>
    </row>
    <row r="27" spans="1:23">
      <c r="A27" s="6" t="s">
        <v>41</v>
      </c>
      <c r="B27" s="6" t="s">
        <v>64</v>
      </c>
      <c r="C27" s="9">
        <v>3</v>
      </c>
      <c r="D27" s="9">
        <v>4</v>
      </c>
      <c r="E27" s="9">
        <v>32273</v>
      </c>
      <c r="F27" s="9">
        <v>4000.601417</v>
      </c>
      <c r="G27" s="9">
        <v>4700</v>
      </c>
      <c r="H27" s="9">
        <v>0.1456325721191088</v>
      </c>
      <c r="I27" s="9">
        <v>227.46875</v>
      </c>
      <c r="J27" s="9">
        <v>237.046875</v>
      </c>
      <c r="K27" s="9">
        <v>8067.037086689108</v>
      </c>
      <c r="L27" s="9">
        <v>0.3569589999999607</v>
      </c>
      <c r="M27" s="9">
        <v>0.8215419999999085</v>
      </c>
      <c r="N27" s="9">
        <v>1.202833000000055</v>
      </c>
      <c r="O27" s="9">
        <v>0</v>
      </c>
      <c r="P27" s="9">
        <v>32273</v>
      </c>
      <c r="Q27" s="9">
        <v>152.2272090000333</v>
      </c>
      <c r="R27" s="9">
        <v>11.931375</v>
      </c>
      <c r="S27" s="9">
        <v>1279.833</v>
      </c>
      <c r="T27" s="9">
        <v>22672</v>
      </c>
      <c r="U27" s="6" t="s">
        <v>43</v>
      </c>
      <c r="V27" s="9">
        <v>129.203125</v>
      </c>
      <c r="W27" s="6" t="s">
        <v>67</v>
      </c>
    </row>
    <row r="28" spans="1:23">
      <c r="A28" s="6" t="s">
        <v>47</v>
      </c>
      <c r="B28" s="6" t="s">
        <v>64</v>
      </c>
      <c r="C28" s="9">
        <v>1</v>
      </c>
      <c r="D28" s="9">
        <v>4</v>
      </c>
      <c r="E28" s="9">
        <v>91008</v>
      </c>
      <c r="F28" s="9">
        <v>4000.40275</v>
      </c>
      <c r="G28" s="9">
        <v>11920</v>
      </c>
      <c r="H28" s="9">
        <v>0.1309774964838256</v>
      </c>
      <c r="I28" s="9">
        <v>8.359375</v>
      </c>
      <c r="J28" s="9">
        <v>8.40625</v>
      </c>
      <c r="K28" s="9">
        <v>22749.70938863593</v>
      </c>
      <c r="L28" s="9">
        <v>0.1656250000000909</v>
      </c>
      <c r="M28" s="9">
        <v>0.2382920000000013</v>
      </c>
      <c r="N28" s="9">
        <v>0.3017500000000837</v>
      </c>
      <c r="O28" s="9">
        <v>0</v>
      </c>
      <c r="P28" s="9">
        <v>91008</v>
      </c>
      <c r="Q28" s="9">
        <v>27.81900000000314</v>
      </c>
      <c r="R28" s="9">
        <v>3.369541999999999</v>
      </c>
      <c r="S28" s="9">
        <v>2784.375</v>
      </c>
      <c r="T28" s="9">
        <v>20835</v>
      </c>
      <c r="U28" s="6" t="s">
        <v>43</v>
      </c>
      <c r="V28" s="9">
        <v>7.859375</v>
      </c>
      <c r="W28" s="6" t="s">
        <v>68</v>
      </c>
    </row>
    <row r="29" spans="1:23">
      <c r="A29" s="6" t="s">
        <v>47</v>
      </c>
      <c r="B29" s="6" t="s">
        <v>64</v>
      </c>
      <c r="C29" s="9">
        <v>2</v>
      </c>
      <c r="D29" s="9">
        <v>4</v>
      </c>
      <c r="E29" s="9">
        <v>86942</v>
      </c>
      <c r="F29" s="9">
        <v>4000.366291</v>
      </c>
      <c r="G29" s="9">
        <v>11890</v>
      </c>
      <c r="H29" s="9">
        <v>0.1367578385590394</v>
      </c>
      <c r="I29" s="9">
        <v>8.3125</v>
      </c>
      <c r="J29" s="9">
        <v>8.34375</v>
      </c>
      <c r="K29" s="9">
        <v>21733.50980274021</v>
      </c>
      <c r="L29" s="9">
        <v>0.1731249999997999</v>
      </c>
      <c r="M29" s="9">
        <v>0.2512500000002547</v>
      </c>
      <c r="N29" s="9">
        <v>0.3313750000002074</v>
      </c>
      <c r="O29" s="9">
        <v>0</v>
      </c>
      <c r="P29" s="9">
        <v>86942</v>
      </c>
      <c r="Q29" s="9">
        <v>28.55279099999461</v>
      </c>
      <c r="R29" s="9">
        <v>3.436792000000001</v>
      </c>
      <c r="S29" s="9">
        <v>2805.609</v>
      </c>
      <c r="T29" s="9">
        <v>20835</v>
      </c>
      <c r="U29" s="6" t="s">
        <v>43</v>
      </c>
      <c r="V29" s="9">
        <v>7.953125</v>
      </c>
      <c r="W29" s="6" t="s">
        <v>69</v>
      </c>
    </row>
    <row r="30" spans="1:23">
      <c r="A30" s="6" t="s">
        <v>47</v>
      </c>
      <c r="B30" s="6" t="s">
        <v>64</v>
      </c>
      <c r="C30" s="9">
        <v>3</v>
      </c>
      <c r="D30" s="9">
        <v>4</v>
      </c>
      <c r="E30" s="9">
        <v>85735</v>
      </c>
      <c r="F30" s="9">
        <v>4000.401208</v>
      </c>
      <c r="G30" s="9">
        <v>11890</v>
      </c>
      <c r="H30" s="9">
        <v>0.1386831515717035</v>
      </c>
      <c r="I30" s="9">
        <v>8.34375</v>
      </c>
      <c r="J30" s="9">
        <v>8.359375</v>
      </c>
      <c r="K30" s="9">
        <v>21431.60036761993</v>
      </c>
      <c r="L30" s="9">
        <v>0.1755840000000717</v>
      </c>
      <c r="M30" s="9">
        <v>0.2534999999998035</v>
      </c>
      <c r="N30" s="9">
        <v>0.3372919999997066</v>
      </c>
      <c r="O30" s="9">
        <v>0</v>
      </c>
      <c r="P30" s="9">
        <v>85735</v>
      </c>
      <c r="Q30" s="9">
        <v>28.43225000001257</v>
      </c>
      <c r="R30" s="9">
        <v>3.507999999999999</v>
      </c>
      <c r="S30" s="9">
        <v>2806.37</v>
      </c>
      <c r="T30" s="9">
        <v>20835</v>
      </c>
      <c r="U30" s="6" t="s">
        <v>43</v>
      </c>
      <c r="V30" s="9">
        <v>7.890625</v>
      </c>
      <c r="W30" s="6" t="s">
        <v>70</v>
      </c>
    </row>
    <row r="31" spans="1:23">
      <c r="A31" s="6" t="s">
        <v>41</v>
      </c>
      <c r="B31" s="6" t="s">
        <v>71</v>
      </c>
      <c r="C31" s="9">
        <v>1</v>
      </c>
      <c r="D31" s="9">
        <v>4</v>
      </c>
      <c r="E31" s="9">
        <v>26128</v>
      </c>
      <c r="F31" s="9">
        <v>4000.644792</v>
      </c>
      <c r="G31" s="9">
        <v>6860</v>
      </c>
      <c r="H31" s="9">
        <v>0.2625535823637477</v>
      </c>
      <c r="I31" s="9">
        <v>236.796875</v>
      </c>
      <c r="J31" s="9">
        <v>253.8125</v>
      </c>
      <c r="K31" s="9">
        <v>6530.947224369326</v>
      </c>
      <c r="L31" s="9">
        <v>0.55337499999996</v>
      </c>
      <c r="M31" s="9">
        <v>0.9714160000000902</v>
      </c>
      <c r="N31" s="9">
        <v>1.293749999999989</v>
      </c>
      <c r="O31" s="9">
        <v>0</v>
      </c>
      <c r="P31" s="9">
        <v>26128</v>
      </c>
      <c r="Q31" s="9">
        <v>153.4957920000015</v>
      </c>
      <c r="R31" s="9">
        <v>12.786292</v>
      </c>
      <c r="S31" s="9">
        <v>1587.225</v>
      </c>
      <c r="T31" s="9">
        <v>3110</v>
      </c>
      <c r="U31" s="6" t="s">
        <v>72</v>
      </c>
      <c r="V31" s="9">
        <v>150.015625</v>
      </c>
      <c r="W31" s="6" t="s">
        <v>73</v>
      </c>
    </row>
    <row r="32" spans="1:23">
      <c r="A32" s="6" t="s">
        <v>41</v>
      </c>
      <c r="B32" s="6" t="s">
        <v>71</v>
      </c>
      <c r="C32" s="9">
        <v>2</v>
      </c>
      <c r="D32" s="9">
        <v>4</v>
      </c>
      <c r="E32" s="9">
        <v>26238</v>
      </c>
      <c r="F32" s="9">
        <v>4000.50125</v>
      </c>
      <c r="G32" s="9">
        <v>6850</v>
      </c>
      <c r="H32" s="9">
        <v>0.2610717280280509</v>
      </c>
      <c r="I32" s="9">
        <v>226.34375</v>
      </c>
      <c r="J32" s="9">
        <v>245.1875</v>
      </c>
      <c r="K32" s="9">
        <v>6558.678115648632</v>
      </c>
      <c r="L32" s="9">
        <v>0.5487499999999272</v>
      </c>
      <c r="M32" s="9">
        <v>0.96683400000029</v>
      </c>
      <c r="N32" s="9">
        <v>1.291667000000018</v>
      </c>
      <c r="O32" s="9">
        <v>0</v>
      </c>
      <c r="P32" s="9">
        <v>26238</v>
      </c>
      <c r="Q32" s="9">
        <v>153.5404589999816</v>
      </c>
      <c r="R32" s="9">
        <v>12.800166</v>
      </c>
      <c r="S32" s="9">
        <v>1563.125</v>
      </c>
      <c r="T32" s="9">
        <v>3110</v>
      </c>
      <c r="U32" s="6" t="s">
        <v>72</v>
      </c>
      <c r="V32" s="9">
        <v>149.796875</v>
      </c>
      <c r="W32" s="6" t="s">
        <v>74</v>
      </c>
    </row>
    <row r="33" spans="1:23">
      <c r="A33" s="6" t="s">
        <v>41</v>
      </c>
      <c r="B33" s="6" t="s">
        <v>71</v>
      </c>
      <c r="C33" s="9">
        <v>3</v>
      </c>
      <c r="D33" s="9">
        <v>4</v>
      </c>
      <c r="E33" s="9">
        <v>26099</v>
      </c>
      <c r="F33" s="9">
        <v>4000.503667</v>
      </c>
      <c r="G33" s="9">
        <v>6780</v>
      </c>
      <c r="H33" s="9">
        <v>0.2597800682018468</v>
      </c>
      <c r="I33" s="9">
        <v>218.390625</v>
      </c>
      <c r="J33" s="9">
        <v>234.390625</v>
      </c>
      <c r="K33" s="9">
        <v>6523.928528122507</v>
      </c>
      <c r="L33" s="9">
        <v>0.5517500000000837</v>
      </c>
      <c r="M33" s="9">
        <v>0.9719589999999982</v>
      </c>
      <c r="N33" s="9">
        <v>1.289999999999992</v>
      </c>
      <c r="O33" s="9">
        <v>0</v>
      </c>
      <c r="P33" s="9">
        <v>26099</v>
      </c>
      <c r="Q33" s="9">
        <v>176.7903340000194</v>
      </c>
      <c r="R33" s="9">
        <v>13.553</v>
      </c>
      <c r="S33" s="9">
        <v>1535.941</v>
      </c>
      <c r="T33" s="9">
        <v>3110</v>
      </c>
      <c r="U33" s="6" t="s">
        <v>72</v>
      </c>
      <c r="V33" s="9">
        <v>150.578125</v>
      </c>
      <c r="W33" s="6" t="s">
        <v>75</v>
      </c>
    </row>
    <row r="34" spans="1:23">
      <c r="A34" s="6" t="s">
        <v>47</v>
      </c>
      <c r="B34" s="6" t="s">
        <v>71</v>
      </c>
      <c r="C34" s="9">
        <v>1</v>
      </c>
      <c r="D34" s="9">
        <v>4</v>
      </c>
      <c r="E34" s="9">
        <v>77753</v>
      </c>
      <c r="F34" s="9">
        <v>4000.410542</v>
      </c>
      <c r="G34" s="9">
        <v>10880</v>
      </c>
      <c r="H34" s="9">
        <v>0.1399302920787622</v>
      </c>
      <c r="I34" s="9">
        <v>8</v>
      </c>
      <c r="J34" s="9">
        <v>8.015625</v>
      </c>
      <c r="K34" s="9">
        <v>19436.25515023453</v>
      </c>
      <c r="L34" s="9">
        <v>0.1933340000000499</v>
      </c>
      <c r="M34" s="9">
        <v>0.2852499999999623</v>
      </c>
      <c r="N34" s="9">
        <v>0.3847090000000151</v>
      </c>
      <c r="O34" s="9">
        <v>0</v>
      </c>
      <c r="P34" s="9">
        <v>77753</v>
      </c>
      <c r="Q34" s="9">
        <v>27.74758300000394</v>
      </c>
      <c r="R34" s="9">
        <v>3.669958000000001</v>
      </c>
      <c r="S34" s="9">
        <v>3452.448</v>
      </c>
      <c r="T34" s="9">
        <v>2964</v>
      </c>
      <c r="U34" s="6" t="s">
        <v>72</v>
      </c>
      <c r="V34" s="9">
        <v>7.671875</v>
      </c>
      <c r="W34" s="6" t="s">
        <v>76</v>
      </c>
    </row>
    <row r="35" spans="1:23">
      <c r="A35" s="6" t="s">
        <v>47</v>
      </c>
      <c r="B35" s="6" t="s">
        <v>71</v>
      </c>
      <c r="C35" s="9">
        <v>2</v>
      </c>
      <c r="D35" s="9">
        <v>4</v>
      </c>
      <c r="E35" s="9">
        <v>75269</v>
      </c>
      <c r="F35" s="9">
        <v>4000.432292</v>
      </c>
      <c r="G35" s="9">
        <v>10880</v>
      </c>
      <c r="H35" s="9">
        <v>0.1445482203828934</v>
      </c>
      <c r="I35" s="9">
        <v>8.015625</v>
      </c>
      <c r="J35" s="9">
        <v>8.078125</v>
      </c>
      <c r="K35" s="9">
        <v>18815.21658309822</v>
      </c>
      <c r="L35" s="9">
        <v>0.1994590000003882</v>
      </c>
      <c r="M35" s="9">
        <v>0.2945839999999862</v>
      </c>
      <c r="N35" s="9">
        <v>0.391290999999967</v>
      </c>
      <c r="O35" s="9">
        <v>0</v>
      </c>
      <c r="P35" s="9">
        <v>75269</v>
      </c>
      <c r="Q35" s="9">
        <v>27.47408300000825</v>
      </c>
      <c r="R35" s="9">
        <v>3.563125000000003</v>
      </c>
      <c r="S35" s="9">
        <v>3457.313</v>
      </c>
      <c r="T35" s="9">
        <v>2964</v>
      </c>
      <c r="U35" s="6" t="s">
        <v>72</v>
      </c>
      <c r="V35" s="9">
        <v>7.6875</v>
      </c>
      <c r="W35" s="6" t="s">
        <v>77</v>
      </c>
    </row>
    <row r="36" spans="1:23">
      <c r="A36" s="6" t="s">
        <v>47</v>
      </c>
      <c r="B36" s="6" t="s">
        <v>71</v>
      </c>
      <c r="C36" s="9">
        <v>3</v>
      </c>
      <c r="D36" s="9">
        <v>4</v>
      </c>
      <c r="E36" s="9">
        <v>64558</v>
      </c>
      <c r="F36" s="9">
        <v>4000.415875</v>
      </c>
      <c r="G36" s="9">
        <v>10870</v>
      </c>
      <c r="H36" s="9">
        <v>0.1683757241550234</v>
      </c>
      <c r="I36" s="9">
        <v>7.953125</v>
      </c>
      <c r="J36" s="9">
        <v>8.03125</v>
      </c>
      <c r="K36" s="9">
        <v>16137.82217080118</v>
      </c>
      <c r="L36" s="9">
        <v>0.2358749999998508</v>
      </c>
      <c r="M36" s="9">
        <v>0.3436659999997573</v>
      </c>
      <c r="N36" s="9">
        <v>0.4349170000000413</v>
      </c>
      <c r="O36" s="9">
        <v>0</v>
      </c>
      <c r="P36" s="9">
        <v>64558</v>
      </c>
      <c r="Q36" s="9">
        <v>28.68166599998949</v>
      </c>
      <c r="R36" s="9">
        <v>3.701125000000001</v>
      </c>
      <c r="S36" s="9">
        <v>3499.913</v>
      </c>
      <c r="T36" s="9">
        <v>2964</v>
      </c>
      <c r="U36" s="6" t="s">
        <v>72</v>
      </c>
      <c r="V36" s="9">
        <v>7.640625</v>
      </c>
      <c r="W36" s="6" t="s">
        <v>78</v>
      </c>
    </row>
    <row r="37" spans="1:23">
      <c r="A37" s="6" t="s">
        <v>41</v>
      </c>
      <c r="B37" s="6" t="s">
        <v>79</v>
      </c>
      <c r="C37" s="9">
        <v>1</v>
      </c>
      <c r="D37" s="9">
        <v>4</v>
      </c>
      <c r="E37" s="9">
        <v>70000</v>
      </c>
      <c r="F37" s="9">
        <v>21520.698542</v>
      </c>
      <c r="G37" s="9">
        <v>26440</v>
      </c>
      <c r="H37" s="9">
        <v>0.3777142857142857</v>
      </c>
      <c r="I37" s="9">
        <v>311.046875</v>
      </c>
      <c r="J37" s="9">
        <v>313.203125</v>
      </c>
      <c r="K37" s="9">
        <v>3252.682521591357</v>
      </c>
      <c r="L37" s="9">
        <v>0.6473749999986467</v>
      </c>
      <c r="M37" s="9">
        <v>3.347874999999931</v>
      </c>
      <c r="N37" s="9">
        <v>4.074333999999908</v>
      </c>
      <c r="O37" s="9">
        <v>0</v>
      </c>
      <c r="P37" s="9">
        <v>70000</v>
      </c>
      <c r="Q37" s="9">
        <v>155.222207999992</v>
      </c>
      <c r="R37" s="9">
        <v>4.204875000000001</v>
      </c>
      <c r="S37" s="9">
        <v>2923.139</v>
      </c>
      <c r="T37" s="9">
        <v>13535.20202857143</v>
      </c>
      <c r="U37" s="6" t="s">
        <v>43</v>
      </c>
      <c r="V37" s="9">
        <v>159.234375</v>
      </c>
      <c r="W37" s="6" t="s">
        <v>80</v>
      </c>
    </row>
    <row r="38" spans="1:23">
      <c r="A38" s="6" t="s">
        <v>41</v>
      </c>
      <c r="B38" s="6" t="s">
        <v>79</v>
      </c>
      <c r="C38" s="9">
        <v>2</v>
      </c>
      <c r="D38" s="9">
        <v>4</v>
      </c>
      <c r="E38" s="9">
        <v>70000</v>
      </c>
      <c r="F38" s="9">
        <v>21607.77225</v>
      </c>
      <c r="G38" s="9">
        <v>26570</v>
      </c>
      <c r="H38" s="9">
        <v>0.3795714285714286</v>
      </c>
      <c r="I38" s="9">
        <v>303.515625</v>
      </c>
      <c r="J38" s="9">
        <v>309.71875</v>
      </c>
      <c r="K38" s="9">
        <v>3239.575056146753</v>
      </c>
      <c r="L38" s="9">
        <v>0.6529169999994338</v>
      </c>
      <c r="M38" s="9">
        <v>3.354832999999417</v>
      </c>
      <c r="N38" s="9">
        <v>4.087625000000116</v>
      </c>
      <c r="O38" s="9">
        <v>0</v>
      </c>
      <c r="P38" s="9">
        <v>70000</v>
      </c>
      <c r="Q38" s="9">
        <v>188.9494169999962</v>
      </c>
      <c r="R38" s="9">
        <v>4.487041999999999</v>
      </c>
      <c r="S38" s="9">
        <v>2908.822</v>
      </c>
      <c r="T38" s="9">
        <v>13535.20202857143</v>
      </c>
      <c r="U38" s="6" t="s">
        <v>43</v>
      </c>
      <c r="V38" s="9">
        <v>159.171875</v>
      </c>
      <c r="W38" s="6" t="s">
        <v>80</v>
      </c>
    </row>
    <row r="39" spans="1:23">
      <c r="A39" s="6" t="s">
        <v>41</v>
      </c>
      <c r="B39" s="6" t="s">
        <v>79</v>
      </c>
      <c r="C39" s="9">
        <v>3</v>
      </c>
      <c r="D39" s="9">
        <v>4</v>
      </c>
      <c r="E39" s="9">
        <v>70000</v>
      </c>
      <c r="F39" s="9">
        <v>21343.135167</v>
      </c>
      <c r="G39" s="9">
        <v>26220</v>
      </c>
      <c r="H39" s="9">
        <v>0.3745714285714286</v>
      </c>
      <c r="I39" s="9">
        <v>307.828125</v>
      </c>
      <c r="J39" s="9">
        <v>312.15625</v>
      </c>
      <c r="K39" s="9">
        <v>3279.743086115648</v>
      </c>
      <c r="L39" s="9">
        <v>0.6417919999985315</v>
      </c>
      <c r="M39" s="9">
        <v>3.322707999999693</v>
      </c>
      <c r="N39" s="9">
        <v>4.056666999999834</v>
      </c>
      <c r="O39" s="9">
        <v>0</v>
      </c>
      <c r="P39" s="9">
        <v>70000</v>
      </c>
      <c r="Q39" s="9">
        <v>200.5595840000315</v>
      </c>
      <c r="R39" s="9">
        <v>4.411916999999999</v>
      </c>
      <c r="S39" s="9">
        <v>2879.449</v>
      </c>
      <c r="T39" s="9">
        <v>13535.20202857143</v>
      </c>
      <c r="U39" s="6" t="s">
        <v>43</v>
      </c>
      <c r="V39" s="9">
        <v>160.25</v>
      </c>
      <c r="W39" s="6" t="s">
        <v>80</v>
      </c>
    </row>
    <row r="40" spans="1:23">
      <c r="A40" s="6" t="s">
        <v>47</v>
      </c>
      <c r="B40" s="6" t="s">
        <v>79</v>
      </c>
      <c r="C40" s="9">
        <v>1</v>
      </c>
      <c r="D40" s="9">
        <v>4</v>
      </c>
      <c r="E40" s="9">
        <v>70000</v>
      </c>
      <c r="F40" s="9">
        <v>9617.254208</v>
      </c>
      <c r="G40" s="9">
        <v>17250</v>
      </c>
      <c r="H40" s="9">
        <v>0.2464285714285714</v>
      </c>
      <c r="I40" s="9">
        <v>260.5</v>
      </c>
      <c r="J40" s="9">
        <v>266.859375</v>
      </c>
      <c r="K40" s="9">
        <v>7278.584769213163</v>
      </c>
      <c r="L40" s="9">
        <v>0.5140409999999065</v>
      </c>
      <c r="M40" s="9">
        <v>1.214624999999614</v>
      </c>
      <c r="N40" s="9">
        <v>1.595166000000006</v>
      </c>
      <c r="O40" s="9">
        <v>0</v>
      </c>
      <c r="P40" s="9">
        <v>70000</v>
      </c>
      <c r="Q40" s="9">
        <v>27.19562499999302</v>
      </c>
      <c r="R40" s="9">
        <v>3.27525</v>
      </c>
      <c r="S40" s="9">
        <v>3232.487</v>
      </c>
      <c r="T40" s="9">
        <v>12951.09211428572</v>
      </c>
      <c r="U40" s="6" t="s">
        <v>43</v>
      </c>
      <c r="V40" s="9">
        <v>165.875</v>
      </c>
      <c r="W40" s="6" t="s">
        <v>80</v>
      </c>
    </row>
    <row r="41" spans="1:23">
      <c r="A41" s="6" t="s">
        <v>47</v>
      </c>
      <c r="B41" s="6" t="s">
        <v>79</v>
      </c>
      <c r="C41" s="9">
        <v>2</v>
      </c>
      <c r="D41" s="9">
        <v>4</v>
      </c>
      <c r="E41" s="9">
        <v>70000</v>
      </c>
      <c r="F41" s="9">
        <v>9569.93325</v>
      </c>
      <c r="G41" s="9">
        <v>17070</v>
      </c>
      <c r="H41" s="9">
        <v>0.2438571428571429</v>
      </c>
      <c r="I41" s="9">
        <v>262.421875</v>
      </c>
      <c r="J41" s="9">
        <v>269.15625</v>
      </c>
      <c r="K41" s="9">
        <v>7314.575574495256</v>
      </c>
      <c r="L41" s="9">
        <v>0.5073750000001382</v>
      </c>
      <c r="M41" s="9">
        <v>1.196791999998823</v>
      </c>
      <c r="N41" s="9">
        <v>1.556458000000021</v>
      </c>
      <c r="O41" s="9">
        <v>0</v>
      </c>
      <c r="P41" s="9">
        <v>70000</v>
      </c>
      <c r="Q41" s="9">
        <v>26.83233299999847</v>
      </c>
      <c r="R41" s="9">
        <v>3.128582999999999</v>
      </c>
      <c r="S41" s="9">
        <v>3205.064</v>
      </c>
      <c r="T41" s="9">
        <v>12951.09211428572</v>
      </c>
      <c r="U41" s="6" t="s">
        <v>43</v>
      </c>
      <c r="V41" s="9">
        <v>167.765625</v>
      </c>
      <c r="W41" s="6" t="s">
        <v>80</v>
      </c>
    </row>
    <row r="42" spans="1:23">
      <c r="A42" s="6" t="s">
        <v>47</v>
      </c>
      <c r="B42" s="6" t="s">
        <v>79</v>
      </c>
      <c r="C42" s="9">
        <v>3</v>
      </c>
      <c r="D42" s="9">
        <v>4</v>
      </c>
      <c r="E42" s="9">
        <v>70000</v>
      </c>
      <c r="F42" s="9">
        <v>9625.839124999999</v>
      </c>
      <c r="G42" s="9">
        <v>16940</v>
      </c>
      <c r="H42" s="9">
        <v>0.242</v>
      </c>
      <c r="I42" s="9">
        <v>265.484375</v>
      </c>
      <c r="J42" s="9">
        <v>269.765625</v>
      </c>
      <c r="K42" s="9">
        <v>7272.093278413274</v>
      </c>
      <c r="L42" s="9">
        <v>0.5210830000005444</v>
      </c>
      <c r="M42" s="9">
        <v>1.233165999999983</v>
      </c>
      <c r="N42" s="9">
        <v>1.599375000000009</v>
      </c>
      <c r="O42" s="9">
        <v>0</v>
      </c>
      <c r="P42" s="9">
        <v>70000</v>
      </c>
      <c r="Q42" s="9">
        <v>29.35745800001314</v>
      </c>
      <c r="R42" s="9">
        <v>3.370874999999998</v>
      </c>
      <c r="S42" s="9">
        <v>3206.237</v>
      </c>
      <c r="T42" s="9">
        <v>12951.09211428572</v>
      </c>
      <c r="U42" s="6" t="s">
        <v>43</v>
      </c>
      <c r="V42" s="9">
        <v>170.375</v>
      </c>
      <c r="W42" s="6" t="s">
        <v>80</v>
      </c>
    </row>
    <row r="43" spans="1:23">
      <c r="A43" s="6" t="s">
        <v>41</v>
      </c>
      <c r="B43" s="6" t="s">
        <v>81</v>
      </c>
      <c r="C43" s="9">
        <v>1</v>
      </c>
      <c r="D43" s="9">
        <v>4</v>
      </c>
      <c r="E43" s="9">
        <v>52774</v>
      </c>
      <c r="F43" s="9">
        <v>4000.421667</v>
      </c>
      <c r="G43" s="9">
        <v>4900</v>
      </c>
      <c r="H43" s="9">
        <v>0.09284875127903892</v>
      </c>
      <c r="I43" s="9">
        <v>230.75</v>
      </c>
      <c r="J43" s="9">
        <v>231.984375</v>
      </c>
      <c r="K43" s="9">
        <v>13192.10933070871</v>
      </c>
      <c r="L43" s="9">
        <v>0.2124579999999696</v>
      </c>
      <c r="M43" s="9">
        <v>0.5283750000000964</v>
      </c>
      <c r="N43" s="9">
        <v>0.9456660000000738</v>
      </c>
      <c r="O43" s="9">
        <v>0</v>
      </c>
      <c r="P43" s="9">
        <v>52774</v>
      </c>
      <c r="Q43" s="9">
        <v>152.6112500000017</v>
      </c>
      <c r="R43" s="9">
        <v>11.405125</v>
      </c>
      <c r="S43" s="9">
        <v>1641.588</v>
      </c>
      <c r="T43" s="9">
        <v>134.7895554629173</v>
      </c>
      <c r="U43" s="6" t="s">
        <v>43</v>
      </c>
      <c r="V43" s="9">
        <v>130.03125</v>
      </c>
      <c r="W43" s="6" t="s">
        <v>82</v>
      </c>
    </row>
    <row r="44" spans="1:23">
      <c r="A44" s="6" t="s">
        <v>41</v>
      </c>
      <c r="B44" s="6" t="s">
        <v>81</v>
      </c>
      <c r="C44" s="9">
        <v>2</v>
      </c>
      <c r="D44" s="9">
        <v>4</v>
      </c>
      <c r="E44" s="9">
        <v>52326</v>
      </c>
      <c r="F44" s="9">
        <v>4000.466375</v>
      </c>
      <c r="G44" s="9">
        <v>4880</v>
      </c>
      <c r="H44" s="9">
        <v>0.09326147613041318</v>
      </c>
      <c r="I44" s="9">
        <v>227.453125</v>
      </c>
      <c r="J44" s="9">
        <v>231.515625</v>
      </c>
      <c r="K44" s="9">
        <v>13079.9749566699</v>
      </c>
      <c r="L44" s="9">
        <v>0.2133749999999281</v>
      </c>
      <c r="M44" s="9">
        <v>0.5368329999998878</v>
      </c>
      <c r="N44" s="9">
        <v>0.9614170000000115</v>
      </c>
      <c r="O44" s="9">
        <v>0</v>
      </c>
      <c r="P44" s="9">
        <v>52326</v>
      </c>
      <c r="Q44" s="9">
        <v>193.4602909999958</v>
      </c>
      <c r="R44" s="9">
        <v>11.475916</v>
      </c>
      <c r="S44" s="9">
        <v>1632.696</v>
      </c>
      <c r="T44" s="9">
        <v>134.7877536979704</v>
      </c>
      <c r="U44" s="6" t="s">
        <v>43</v>
      </c>
      <c r="V44" s="9">
        <v>130.734375</v>
      </c>
      <c r="W44" s="6" t="s">
        <v>83</v>
      </c>
    </row>
    <row r="45" spans="1:23">
      <c r="A45" s="6" t="s">
        <v>41</v>
      </c>
      <c r="B45" s="6" t="s">
        <v>81</v>
      </c>
      <c r="C45" s="9">
        <v>3</v>
      </c>
      <c r="D45" s="9">
        <v>4</v>
      </c>
      <c r="E45" s="9">
        <v>53118</v>
      </c>
      <c r="F45" s="9">
        <v>4000.420791</v>
      </c>
      <c r="G45" s="9">
        <v>4910</v>
      </c>
      <c r="H45" s="9">
        <v>0.09243570917579728</v>
      </c>
      <c r="I45" s="9">
        <v>232.546875</v>
      </c>
      <c r="J45" s="9">
        <v>233.828125</v>
      </c>
      <c r="K45" s="9">
        <v>13278.10317342189</v>
      </c>
      <c r="L45" s="9">
        <v>0.209208000000217</v>
      </c>
      <c r="M45" s="9">
        <v>0.5250839999999997</v>
      </c>
      <c r="N45" s="9">
        <v>0.9614159999996446</v>
      </c>
      <c r="O45" s="9">
        <v>0</v>
      </c>
      <c r="P45" s="9">
        <v>53118</v>
      </c>
      <c r="Q45" s="9">
        <v>151.9003329999978</v>
      </c>
      <c r="R45" s="9">
        <v>11.469083</v>
      </c>
      <c r="S45" s="9">
        <v>1642.095</v>
      </c>
      <c r="T45" s="9">
        <v>134.7909183327685</v>
      </c>
      <c r="U45" s="6" t="s">
        <v>43</v>
      </c>
      <c r="V45" s="9">
        <v>128.734375</v>
      </c>
      <c r="W45" s="6" t="s">
        <v>84</v>
      </c>
    </row>
    <row r="46" spans="1:23">
      <c r="A46" s="6" t="s">
        <v>47</v>
      </c>
      <c r="B46" s="6" t="s">
        <v>81</v>
      </c>
      <c r="C46" s="9">
        <v>1</v>
      </c>
      <c r="D46" s="9">
        <v>4</v>
      </c>
      <c r="E46" s="9">
        <v>68512</v>
      </c>
      <c r="F46" s="9">
        <v>4000.420625</v>
      </c>
      <c r="G46" s="9">
        <v>7630</v>
      </c>
      <c r="H46" s="9">
        <v>0.1113673517048108</v>
      </c>
      <c r="I46" s="9">
        <v>140.40625</v>
      </c>
      <c r="J46" s="9">
        <v>141.71875</v>
      </c>
      <c r="K46" s="9">
        <v>17126.19907312872</v>
      </c>
      <c r="L46" s="9">
        <v>0.2084580000000642</v>
      </c>
      <c r="M46" s="9">
        <v>0.3258339999999862</v>
      </c>
      <c r="N46" s="9">
        <v>0.7081250000001091</v>
      </c>
      <c r="O46" s="9">
        <v>0</v>
      </c>
      <c r="P46" s="9">
        <v>68512</v>
      </c>
      <c r="Q46" s="9">
        <v>27.58033299999806</v>
      </c>
      <c r="R46" s="9">
        <v>44.688042</v>
      </c>
      <c r="S46" s="9">
        <v>2519.723</v>
      </c>
      <c r="T46" s="9">
        <v>134.8378970107426</v>
      </c>
      <c r="U46" s="6" t="s">
        <v>43</v>
      </c>
      <c r="V46" s="9">
        <v>90.109375</v>
      </c>
      <c r="W46" s="6" t="s">
        <v>85</v>
      </c>
    </row>
    <row r="47" spans="1:23">
      <c r="A47" s="6" t="s">
        <v>47</v>
      </c>
      <c r="B47" s="6" t="s">
        <v>81</v>
      </c>
      <c r="C47" s="9">
        <v>2</v>
      </c>
      <c r="D47" s="9">
        <v>4</v>
      </c>
      <c r="E47" s="9">
        <v>68648</v>
      </c>
      <c r="F47" s="9">
        <v>4000.4195</v>
      </c>
      <c r="G47" s="9">
        <v>7630</v>
      </c>
      <c r="H47" s="9">
        <v>0.1111467194965622</v>
      </c>
      <c r="I47" s="9">
        <v>137.03125</v>
      </c>
      <c r="J47" s="9">
        <v>138.671875</v>
      </c>
      <c r="K47" s="9">
        <v>17160.20032399102</v>
      </c>
      <c r="L47" s="9">
        <v>0.2092079999997623</v>
      </c>
      <c r="M47" s="9">
        <v>0.3225840000000062</v>
      </c>
      <c r="N47" s="9">
        <v>0.7114169999999831</v>
      </c>
      <c r="O47" s="9">
        <v>0</v>
      </c>
      <c r="P47" s="9">
        <v>68648</v>
      </c>
      <c r="Q47" s="9">
        <v>28.98454200002016</v>
      </c>
      <c r="R47" s="9">
        <v>43.91</v>
      </c>
      <c r="S47" s="9">
        <v>2532.754</v>
      </c>
      <c r="T47" s="9">
        <v>134.838218156392</v>
      </c>
      <c r="U47" s="6" t="s">
        <v>43</v>
      </c>
      <c r="V47" s="9">
        <v>90.140625</v>
      </c>
      <c r="W47" s="6" t="s">
        <v>86</v>
      </c>
    </row>
    <row r="48" spans="1:23">
      <c r="A48" s="6" t="s">
        <v>47</v>
      </c>
      <c r="B48" s="6" t="s">
        <v>81</v>
      </c>
      <c r="C48" s="9">
        <v>3</v>
      </c>
      <c r="D48" s="9">
        <v>4</v>
      </c>
      <c r="E48" s="9">
        <v>69683</v>
      </c>
      <c r="F48" s="9">
        <v>4001.640916</v>
      </c>
      <c r="G48" s="9">
        <v>7680</v>
      </c>
      <c r="H48" s="9">
        <v>0.1102133949456826</v>
      </c>
      <c r="I48" s="9">
        <v>137.46875</v>
      </c>
      <c r="J48" s="9">
        <v>138.140625</v>
      </c>
      <c r="K48" s="9">
        <v>17413.60643364633</v>
      </c>
      <c r="L48" s="9">
        <v>0.2035000000000764</v>
      </c>
      <c r="M48" s="9">
        <v>0.3215420000001359</v>
      </c>
      <c r="N48" s="9">
        <v>0.7308329999999614</v>
      </c>
      <c r="O48" s="9">
        <v>0</v>
      </c>
      <c r="P48" s="9">
        <v>69683</v>
      </c>
      <c r="Q48" s="9">
        <v>28.65229100000579</v>
      </c>
      <c r="R48" s="9">
        <v>45.030917</v>
      </c>
      <c r="S48" s="9">
        <v>2554.784</v>
      </c>
      <c r="T48" s="9">
        <v>134.8406210984028</v>
      </c>
      <c r="U48" s="6" t="s">
        <v>43</v>
      </c>
      <c r="V48" s="9">
        <v>88.59375</v>
      </c>
      <c r="W48" s="6" t="s">
        <v>87</v>
      </c>
    </row>
    <row r="49" spans="1:23">
      <c r="A49" s="6" t="s">
        <v>41</v>
      </c>
      <c r="B49" s="6" t="s">
        <v>88</v>
      </c>
      <c r="C49" s="9">
        <v>1</v>
      </c>
      <c r="D49" s="9">
        <v>4</v>
      </c>
      <c r="E49" s="9">
        <v>14045</v>
      </c>
      <c r="F49" s="9">
        <v>4000.991791</v>
      </c>
      <c r="G49" s="9">
        <v>5390</v>
      </c>
      <c r="H49" s="9">
        <v>0.3837664649341402</v>
      </c>
      <c r="I49" s="9">
        <v>208.828125</v>
      </c>
      <c r="J49" s="9">
        <v>257.4375</v>
      </c>
      <c r="K49" s="9">
        <v>3510.379609274234</v>
      </c>
      <c r="L49" s="9">
        <v>0.9776249999999891</v>
      </c>
      <c r="M49" s="9">
        <v>2.039917000000003</v>
      </c>
      <c r="N49" s="9">
        <v>2.983416999999918</v>
      </c>
      <c r="O49" s="9">
        <v>0</v>
      </c>
      <c r="P49" s="9">
        <v>14045</v>
      </c>
      <c r="Q49" s="9">
        <v>197.3412910000043</v>
      </c>
      <c r="R49" s="9">
        <v>16.868834</v>
      </c>
      <c r="S49" s="9">
        <v>732.4589999999999</v>
      </c>
      <c r="T49" s="9">
        <v>8315.627767888929</v>
      </c>
      <c r="U49" s="6" t="s">
        <v>43</v>
      </c>
      <c r="V49" s="9">
        <v>149.5</v>
      </c>
      <c r="W49" s="6" t="s">
        <v>89</v>
      </c>
    </row>
    <row r="50" spans="1:23">
      <c r="A50" s="6" t="s">
        <v>41</v>
      </c>
      <c r="B50" s="6" t="s">
        <v>88</v>
      </c>
      <c r="C50" s="9">
        <v>2</v>
      </c>
      <c r="D50" s="9">
        <v>4</v>
      </c>
      <c r="E50" s="9">
        <v>13917</v>
      </c>
      <c r="F50" s="9">
        <v>4001.346875</v>
      </c>
      <c r="G50" s="9">
        <v>5400</v>
      </c>
      <c r="H50" s="9">
        <v>0.388014658331537</v>
      </c>
      <c r="I50" s="9">
        <v>207.765625</v>
      </c>
      <c r="J50" s="9">
        <v>255.890625</v>
      </c>
      <c r="K50" s="9">
        <v>3478.078865631963</v>
      </c>
      <c r="L50" s="9">
        <v>0.9864170000000172</v>
      </c>
      <c r="M50" s="9">
        <v>2.046665999999959</v>
      </c>
      <c r="N50" s="9">
        <v>2.966417000000092</v>
      </c>
      <c r="O50" s="9">
        <v>0</v>
      </c>
      <c r="P50" s="9">
        <v>13917</v>
      </c>
      <c r="Q50" s="9">
        <v>153.5465419999964</v>
      </c>
      <c r="R50" s="9">
        <v>16.91825</v>
      </c>
      <c r="S50" s="9">
        <v>716.978</v>
      </c>
      <c r="T50" s="9">
        <v>8315.605949558094</v>
      </c>
      <c r="U50" s="6" t="s">
        <v>43</v>
      </c>
      <c r="V50" s="9">
        <v>145.90625</v>
      </c>
      <c r="W50" s="6" t="s">
        <v>90</v>
      </c>
    </row>
    <row r="51" spans="1:23">
      <c r="A51" s="6" t="s">
        <v>41</v>
      </c>
      <c r="B51" s="6" t="s">
        <v>88</v>
      </c>
      <c r="C51" s="9">
        <v>3</v>
      </c>
      <c r="D51" s="9">
        <v>4</v>
      </c>
      <c r="E51" s="9">
        <v>13893</v>
      </c>
      <c r="F51" s="9">
        <v>4000.928208</v>
      </c>
      <c r="G51" s="9">
        <v>5430</v>
      </c>
      <c r="H51" s="9">
        <v>0.3908443100842151</v>
      </c>
      <c r="I51" s="9">
        <v>211.96875</v>
      </c>
      <c r="J51" s="9">
        <v>261.359375</v>
      </c>
      <c r="K51" s="9">
        <v>3472.44421237563</v>
      </c>
      <c r="L51" s="9">
        <v>0.9821249999999964</v>
      </c>
      <c r="M51" s="9">
        <v>2.067125000000033</v>
      </c>
      <c r="N51" s="9">
        <v>3.096749999999929</v>
      </c>
      <c r="O51" s="9">
        <v>0</v>
      </c>
      <c r="P51" s="9">
        <v>13893</v>
      </c>
      <c r="Q51" s="9">
        <v>154.998499999987</v>
      </c>
      <c r="R51" s="9">
        <v>16.729625</v>
      </c>
      <c r="S51" s="9">
        <v>724.124</v>
      </c>
      <c r="T51" s="9">
        <v>8315.601813863097</v>
      </c>
      <c r="U51" s="6" t="s">
        <v>43</v>
      </c>
      <c r="V51" s="9">
        <v>147.6875</v>
      </c>
      <c r="W51" s="6" t="s">
        <v>91</v>
      </c>
    </row>
    <row r="52" spans="1:23">
      <c r="A52" s="6" t="s">
        <v>47</v>
      </c>
      <c r="B52" s="6" t="s">
        <v>88</v>
      </c>
      <c r="C52" s="9">
        <v>1</v>
      </c>
      <c r="D52" s="9">
        <v>4</v>
      </c>
      <c r="E52" s="9">
        <v>39970</v>
      </c>
      <c r="F52" s="9">
        <v>4000.5755</v>
      </c>
      <c r="G52" s="9">
        <v>5280</v>
      </c>
      <c r="H52" s="9">
        <v>0.1320990743057293</v>
      </c>
      <c r="I52" s="9">
        <v>110.09375</v>
      </c>
      <c r="J52" s="9">
        <v>117.171875</v>
      </c>
      <c r="K52" s="9">
        <v>9991.062535877651</v>
      </c>
      <c r="L52" s="9">
        <v>0.3779999999999291</v>
      </c>
      <c r="M52" s="9">
        <v>0.4892920000000061</v>
      </c>
      <c r="N52" s="9">
        <v>0.6080000000000609</v>
      </c>
      <c r="O52" s="9">
        <v>0</v>
      </c>
      <c r="P52" s="9">
        <v>39970</v>
      </c>
      <c r="Q52" s="9">
        <v>27.69954200000211</v>
      </c>
      <c r="R52" s="9">
        <v>60.99241699999999</v>
      </c>
      <c r="S52" s="9">
        <v>1444.095</v>
      </c>
      <c r="T52" s="9">
        <v>7843.888566424818</v>
      </c>
      <c r="U52" s="6" t="s">
        <v>43</v>
      </c>
      <c r="V52" s="9">
        <v>87.296875</v>
      </c>
      <c r="W52" s="6" t="s">
        <v>92</v>
      </c>
    </row>
    <row r="53" spans="1:23">
      <c r="A53" s="6" t="s">
        <v>47</v>
      </c>
      <c r="B53" s="6" t="s">
        <v>88</v>
      </c>
      <c r="C53" s="9">
        <v>2</v>
      </c>
      <c r="D53" s="9">
        <v>4</v>
      </c>
      <c r="E53" s="9">
        <v>40216</v>
      </c>
      <c r="F53" s="9">
        <v>4000.498584</v>
      </c>
      <c r="G53" s="9">
        <v>5280</v>
      </c>
      <c r="H53" s="9">
        <v>0.1312910284463895</v>
      </c>
      <c r="I53" s="9">
        <v>107.296875</v>
      </c>
      <c r="J53" s="9">
        <v>120.765625</v>
      </c>
      <c r="K53" s="9">
        <v>10052.74696530176</v>
      </c>
      <c r="L53" s="9">
        <v>0.3759159999999611</v>
      </c>
      <c r="M53" s="9">
        <v>0.4862079999999764</v>
      </c>
      <c r="N53" s="9">
        <v>0.6020000000000039</v>
      </c>
      <c r="O53" s="9">
        <v>0</v>
      </c>
      <c r="P53" s="9">
        <v>40216</v>
      </c>
      <c r="Q53" s="9">
        <v>28.69933299999684</v>
      </c>
      <c r="R53" s="9">
        <v>60.60025</v>
      </c>
      <c r="S53" s="9">
        <v>1445.411</v>
      </c>
      <c r="T53" s="9">
        <v>7843.895365028844</v>
      </c>
      <c r="U53" s="6" t="s">
        <v>43</v>
      </c>
      <c r="V53" s="9">
        <v>93.09375</v>
      </c>
      <c r="W53" s="6" t="s">
        <v>93</v>
      </c>
    </row>
    <row r="54" spans="1:23">
      <c r="A54" s="6" t="s">
        <v>47</v>
      </c>
      <c r="B54" s="6" t="s">
        <v>88</v>
      </c>
      <c r="C54" s="9">
        <v>3</v>
      </c>
      <c r="D54" s="9">
        <v>4</v>
      </c>
      <c r="E54" s="9">
        <v>40366</v>
      </c>
      <c r="F54" s="9">
        <v>4000.636958</v>
      </c>
      <c r="G54" s="9">
        <v>5290</v>
      </c>
      <c r="H54" s="9">
        <v>0.1310508844076698</v>
      </c>
      <c r="I54" s="9">
        <v>107.96875</v>
      </c>
      <c r="J54" s="9">
        <v>115.40625</v>
      </c>
      <c r="K54" s="9">
        <v>10089.89329043738</v>
      </c>
      <c r="L54" s="9">
        <v>0.3739169999998921</v>
      </c>
      <c r="M54" s="9">
        <v>0.4880830000000174</v>
      </c>
      <c r="N54" s="9">
        <v>0.6028340000000014</v>
      </c>
      <c r="O54" s="9">
        <v>0</v>
      </c>
      <c r="P54" s="9">
        <v>40366</v>
      </c>
      <c r="Q54" s="9">
        <v>28.8109580000164</v>
      </c>
      <c r="R54" s="9">
        <v>60.596917</v>
      </c>
      <c r="S54" s="9">
        <v>1450.486</v>
      </c>
      <c r="T54" s="9">
        <v>7843.899469850865</v>
      </c>
      <c r="U54" s="6" t="s">
        <v>43</v>
      </c>
      <c r="V54" s="9">
        <v>84.875</v>
      </c>
      <c r="W54" s="6" t="s">
        <v>94</v>
      </c>
    </row>
    <row r="55" spans="1:23">
      <c r="A55" s="6" t="s">
        <v>41</v>
      </c>
      <c r="B55" s="6" t="s">
        <v>95</v>
      </c>
      <c r="C55" s="9">
        <v>1</v>
      </c>
      <c r="D55" s="9">
        <v>8</v>
      </c>
      <c r="E55" s="9">
        <v>6442</v>
      </c>
      <c r="F55" s="9">
        <v>2002.727916</v>
      </c>
      <c r="G55" s="9">
        <v>2880</v>
      </c>
      <c r="H55" s="9">
        <v>0.447066128531512</v>
      </c>
      <c r="I55" s="9">
        <v>182.625</v>
      </c>
      <c r="J55" s="9">
        <v>184.40625</v>
      </c>
      <c r="K55" s="9">
        <v>3216.612675408475</v>
      </c>
      <c r="L55" s="9">
        <v>2.188999999999965</v>
      </c>
      <c r="M55" s="9">
        <v>4.587541000000101</v>
      </c>
      <c r="N55" s="9">
        <v>5.645624999999995</v>
      </c>
      <c r="O55" s="9">
        <v>0</v>
      </c>
      <c r="P55" s="9">
        <v>6442</v>
      </c>
      <c r="Q55" s="9">
        <v>154.0135410000075</v>
      </c>
      <c r="R55" s="9">
        <v>17.005167</v>
      </c>
      <c r="S55" s="9">
        <v>466.955</v>
      </c>
      <c r="T55" s="9">
        <v>8314.484476870537</v>
      </c>
      <c r="U55" s="6" t="s">
        <v>43</v>
      </c>
      <c r="V55" s="9">
        <v>148.734375</v>
      </c>
      <c r="W55" s="6" t="s">
        <v>96</v>
      </c>
    </row>
    <row r="56" spans="1:23">
      <c r="A56" s="6" t="s">
        <v>41</v>
      </c>
      <c r="B56" s="6" t="s">
        <v>95</v>
      </c>
      <c r="C56" s="9">
        <v>2</v>
      </c>
      <c r="D56" s="9">
        <v>8</v>
      </c>
      <c r="E56" s="9">
        <v>6489</v>
      </c>
      <c r="F56" s="9">
        <v>2002.105375</v>
      </c>
      <c r="G56" s="9">
        <v>2890</v>
      </c>
      <c r="H56" s="9">
        <v>0.4453690861457852</v>
      </c>
      <c r="I56" s="9">
        <v>191.9375</v>
      </c>
      <c r="J56" s="9">
        <v>192.859375</v>
      </c>
      <c r="K56" s="9">
        <v>3241.088147021233</v>
      </c>
      <c r="L56" s="9">
        <v>2.150791999999967</v>
      </c>
      <c r="M56" s="9">
        <v>4.536791999999878</v>
      </c>
      <c r="N56" s="9">
        <v>5.607540999999998</v>
      </c>
      <c r="O56" s="9">
        <v>0</v>
      </c>
      <c r="P56" s="9">
        <v>6489</v>
      </c>
      <c r="Q56" s="9">
        <v>154.5964579999854</v>
      </c>
      <c r="R56" s="9">
        <v>16.780958</v>
      </c>
      <c r="S56" s="9">
        <v>471.697</v>
      </c>
      <c r="T56" s="9">
        <v>8314.488210818308</v>
      </c>
      <c r="U56" s="6" t="s">
        <v>43</v>
      </c>
      <c r="V56" s="9">
        <v>147.40625</v>
      </c>
      <c r="W56" s="6" t="s">
        <v>97</v>
      </c>
    </row>
    <row r="57" spans="1:23">
      <c r="A57" s="6" t="s">
        <v>41</v>
      </c>
      <c r="B57" s="6" t="s">
        <v>95</v>
      </c>
      <c r="C57" s="9">
        <v>3</v>
      </c>
      <c r="D57" s="9">
        <v>8</v>
      </c>
      <c r="E57" s="9">
        <v>6521</v>
      </c>
      <c r="F57" s="9">
        <v>2002.123833</v>
      </c>
      <c r="G57" s="9">
        <v>2850</v>
      </c>
      <c r="H57" s="9">
        <v>0.4370495322803251</v>
      </c>
      <c r="I57" s="9">
        <v>182.359375</v>
      </c>
      <c r="J57" s="9">
        <v>208.09375</v>
      </c>
      <c r="K57" s="9">
        <v>3257.041294108605</v>
      </c>
      <c r="L57" s="9">
        <v>2.166500000000042</v>
      </c>
      <c r="M57" s="9">
        <v>4.552000000000021</v>
      </c>
      <c r="N57" s="9">
        <v>5.544415999999998</v>
      </c>
      <c r="O57" s="9">
        <v>0</v>
      </c>
      <c r="P57" s="9">
        <v>6521</v>
      </c>
      <c r="Q57" s="9">
        <v>193.6441659999546</v>
      </c>
      <c r="R57" s="9">
        <v>16.736042</v>
      </c>
      <c r="S57" s="9">
        <v>461.219</v>
      </c>
      <c r="T57" s="9">
        <v>8314.490722281858</v>
      </c>
      <c r="U57" s="6" t="s">
        <v>43</v>
      </c>
      <c r="V57" s="9">
        <v>147.828125</v>
      </c>
      <c r="W57" s="6" t="s">
        <v>98</v>
      </c>
    </row>
    <row r="58" spans="1:23">
      <c r="A58" s="6" t="s">
        <v>47</v>
      </c>
      <c r="B58" s="6" t="s">
        <v>95</v>
      </c>
      <c r="C58" s="9">
        <v>1</v>
      </c>
      <c r="D58" s="9">
        <v>8</v>
      </c>
      <c r="E58" s="9">
        <v>19358</v>
      </c>
      <c r="F58" s="9">
        <v>2000.935792</v>
      </c>
      <c r="G58" s="9">
        <v>2720</v>
      </c>
      <c r="H58" s="9">
        <v>0.1405103833040603</v>
      </c>
      <c r="I58" s="9">
        <v>105.046875</v>
      </c>
      <c r="J58" s="9">
        <v>108.03125</v>
      </c>
      <c r="K58" s="9">
        <v>9674.473352616204</v>
      </c>
      <c r="L58" s="9">
        <v>0.7725829999999405</v>
      </c>
      <c r="M58" s="9">
        <v>1.06370800000002</v>
      </c>
      <c r="N58" s="9">
        <v>1.43629100000004</v>
      </c>
      <c r="O58" s="9">
        <v>0</v>
      </c>
      <c r="P58" s="9">
        <v>19358</v>
      </c>
      <c r="Q58" s="9">
        <v>28.20758400000341</v>
      </c>
      <c r="R58" s="9">
        <v>60.042542</v>
      </c>
      <c r="S58" s="9">
        <v>832.308</v>
      </c>
      <c r="T58" s="9">
        <v>7842.705134827978</v>
      </c>
      <c r="U58" s="6" t="s">
        <v>43</v>
      </c>
      <c r="V58" s="9">
        <v>87.40625</v>
      </c>
      <c r="W58" s="6" t="s">
        <v>99</v>
      </c>
    </row>
    <row r="59" spans="1:23">
      <c r="A59" s="6" t="s">
        <v>47</v>
      </c>
      <c r="B59" s="6" t="s">
        <v>95</v>
      </c>
      <c r="C59" s="9">
        <v>2</v>
      </c>
      <c r="D59" s="9">
        <v>8</v>
      </c>
      <c r="E59" s="9">
        <v>19523</v>
      </c>
      <c r="F59" s="9">
        <v>2000.922584</v>
      </c>
      <c r="G59" s="9">
        <v>2730</v>
      </c>
      <c r="H59" s="9">
        <v>0.1398350663320186</v>
      </c>
      <c r="I59" s="9">
        <v>108.25</v>
      </c>
      <c r="J59" s="9">
        <v>111.828125</v>
      </c>
      <c r="K59" s="9">
        <v>9756.999174336872</v>
      </c>
      <c r="L59" s="9">
        <v>0.7677079999999705</v>
      </c>
      <c r="M59" s="9">
        <v>1.054749999999999</v>
      </c>
      <c r="N59" s="9">
        <v>1.45333299999993</v>
      </c>
      <c r="O59" s="9">
        <v>0</v>
      </c>
      <c r="P59" s="9">
        <v>19523</v>
      </c>
      <c r="Q59" s="9">
        <v>28.63166699997964</v>
      </c>
      <c r="R59" s="9">
        <v>59.552583</v>
      </c>
      <c r="S59" s="9">
        <v>825.981</v>
      </c>
      <c r="T59" s="9">
        <v>7842.72453004149</v>
      </c>
      <c r="U59" s="6" t="s">
        <v>43</v>
      </c>
      <c r="V59" s="9">
        <v>87.203125</v>
      </c>
      <c r="W59" s="6" t="s">
        <v>100</v>
      </c>
    </row>
    <row r="60" spans="1:23">
      <c r="A60" s="6" t="s">
        <v>47</v>
      </c>
      <c r="B60" s="6" t="s">
        <v>95</v>
      </c>
      <c r="C60" s="9">
        <v>3</v>
      </c>
      <c r="D60" s="9">
        <v>8</v>
      </c>
      <c r="E60" s="9">
        <v>19531</v>
      </c>
      <c r="F60" s="9">
        <v>2000.873333</v>
      </c>
      <c r="G60" s="9">
        <v>2720</v>
      </c>
      <c r="H60" s="9">
        <v>0.1392657826020173</v>
      </c>
      <c r="I60" s="9">
        <v>105.234375</v>
      </c>
      <c r="J60" s="9">
        <v>114.875</v>
      </c>
      <c r="K60" s="9">
        <v>9761.237594543922</v>
      </c>
      <c r="L60" s="9">
        <v>0.7677920000000995</v>
      </c>
      <c r="M60" s="9">
        <v>1.058250000000001</v>
      </c>
      <c r="N60" s="9">
        <v>1.497041999999993</v>
      </c>
      <c r="O60" s="9">
        <v>0</v>
      </c>
      <c r="P60" s="9">
        <v>19531</v>
      </c>
      <c r="Q60" s="9">
        <v>29.34275000001071</v>
      </c>
      <c r="R60" s="9">
        <v>59.25075</v>
      </c>
      <c r="S60" s="9">
        <v>831.177</v>
      </c>
      <c r="T60" s="9">
        <v>7842.725462085915</v>
      </c>
      <c r="U60" s="6" t="s">
        <v>43</v>
      </c>
      <c r="V60" s="9">
        <v>89.359375</v>
      </c>
      <c r="W60" s="6" t="s">
        <v>101</v>
      </c>
    </row>
    <row r="61" spans="1:23">
      <c r="A61" s="6" t="s">
        <v>41</v>
      </c>
      <c r="B61" s="6" t="s">
        <v>102</v>
      </c>
      <c r="C61" s="9">
        <v>1</v>
      </c>
      <c r="D61" s="9">
        <v>4</v>
      </c>
      <c r="E61" s="9">
        <v>45061</v>
      </c>
      <c r="F61" s="9">
        <v>4000.511541</v>
      </c>
      <c r="G61" s="9">
        <v>4740</v>
      </c>
      <c r="H61" s="9">
        <v>0.1051907414393822</v>
      </c>
      <c r="I61" s="9">
        <v>231.4375</v>
      </c>
      <c r="J61" s="9">
        <v>233.5</v>
      </c>
      <c r="K61" s="9">
        <v>11263.80952490296</v>
      </c>
      <c r="L61" s="9">
        <v>0.2495000000000118</v>
      </c>
      <c r="M61" s="9">
        <v>0.6267920000000231</v>
      </c>
      <c r="N61" s="9">
        <v>0.9549579999998059</v>
      </c>
      <c r="O61" s="9">
        <v>0</v>
      </c>
      <c r="P61" s="9">
        <v>45061</v>
      </c>
      <c r="Q61" s="9">
        <v>196.4044590000012</v>
      </c>
      <c r="R61" s="9">
        <v>10.005458</v>
      </c>
      <c r="S61" s="9">
        <v>1533.285</v>
      </c>
      <c r="T61" s="9">
        <v>8259</v>
      </c>
      <c r="U61" s="6" t="s">
        <v>43</v>
      </c>
      <c r="V61" s="9">
        <v>127.53125</v>
      </c>
      <c r="W61" s="6" t="s">
        <v>103</v>
      </c>
    </row>
    <row r="62" spans="1:23">
      <c r="A62" s="6" t="s">
        <v>41</v>
      </c>
      <c r="B62" s="6" t="s">
        <v>102</v>
      </c>
      <c r="C62" s="9">
        <v>2</v>
      </c>
      <c r="D62" s="9">
        <v>4</v>
      </c>
      <c r="E62" s="9">
        <v>44795</v>
      </c>
      <c r="F62" s="9">
        <v>4000.46</v>
      </c>
      <c r="G62" s="9">
        <v>4740</v>
      </c>
      <c r="H62" s="9">
        <v>0.1058153811809354</v>
      </c>
      <c r="I62" s="9">
        <v>230.390625</v>
      </c>
      <c r="J62" s="9">
        <v>235.015625</v>
      </c>
      <c r="K62" s="9">
        <v>11197.46229183644</v>
      </c>
      <c r="L62" s="9">
        <v>0.2513750000002801</v>
      </c>
      <c r="M62" s="9">
        <v>0.6177920000000086</v>
      </c>
      <c r="N62" s="9">
        <v>0.9548340000000053</v>
      </c>
      <c r="O62" s="9">
        <v>0</v>
      </c>
      <c r="P62" s="9">
        <v>44795</v>
      </c>
      <c r="Q62" s="9">
        <v>151.5962909999944</v>
      </c>
      <c r="R62" s="9">
        <v>9.938124999999999</v>
      </c>
      <c r="S62" s="9">
        <v>1554.61</v>
      </c>
      <c r="T62" s="9">
        <v>8259</v>
      </c>
      <c r="U62" s="6" t="s">
        <v>43</v>
      </c>
      <c r="V62" s="9">
        <v>129.125</v>
      </c>
      <c r="W62" s="6" t="s">
        <v>104</v>
      </c>
    </row>
    <row r="63" spans="1:23">
      <c r="A63" s="6" t="s">
        <v>41</v>
      </c>
      <c r="B63" s="6" t="s">
        <v>102</v>
      </c>
      <c r="C63" s="9">
        <v>3</v>
      </c>
      <c r="D63" s="9">
        <v>4</v>
      </c>
      <c r="E63" s="9">
        <v>44648</v>
      </c>
      <c r="F63" s="9">
        <v>4000.538042</v>
      </c>
      <c r="G63" s="9">
        <v>4740</v>
      </c>
      <c r="H63" s="9">
        <v>0.1061637699337036</v>
      </c>
      <c r="I63" s="9">
        <v>229.515625</v>
      </c>
      <c r="J63" s="9">
        <v>232.890625</v>
      </c>
      <c r="K63" s="9">
        <v>11160.49879572674</v>
      </c>
      <c r="L63" s="9">
        <v>0.2517080000002352</v>
      </c>
      <c r="M63" s="9">
        <v>0.6255000000001019</v>
      </c>
      <c r="N63" s="9">
        <v>0.9654589999999814</v>
      </c>
      <c r="O63" s="9">
        <v>0</v>
      </c>
      <c r="P63" s="9">
        <v>44648</v>
      </c>
      <c r="Q63" s="9">
        <v>152.8827499999898</v>
      </c>
      <c r="R63" s="9">
        <v>9.894833999999999</v>
      </c>
      <c r="S63" s="9">
        <v>1543.994</v>
      </c>
      <c r="T63" s="9">
        <v>8259</v>
      </c>
      <c r="U63" s="6" t="s">
        <v>43</v>
      </c>
      <c r="V63" s="9">
        <v>128.6875</v>
      </c>
      <c r="W63" s="6" t="s">
        <v>105</v>
      </c>
    </row>
    <row r="64" spans="1:23">
      <c r="A64" s="6" t="s">
        <v>47</v>
      </c>
      <c r="B64" s="6" t="s">
        <v>102</v>
      </c>
      <c r="C64" s="9">
        <v>1</v>
      </c>
      <c r="D64" s="9">
        <v>4</v>
      </c>
      <c r="E64" s="9">
        <v>92959</v>
      </c>
      <c r="F64" s="9">
        <v>4000.347166</v>
      </c>
      <c r="G64" s="9">
        <v>12070</v>
      </c>
      <c r="H64" s="9">
        <v>0.1298421884917006</v>
      </c>
      <c r="I64" s="9">
        <v>8.09375</v>
      </c>
      <c r="J64" s="9">
        <v>8.140625</v>
      </c>
      <c r="K64" s="9">
        <v>23237.73316228225</v>
      </c>
      <c r="L64" s="9">
        <v>0.1618330000000014</v>
      </c>
      <c r="M64" s="9">
        <v>0.2348340000003191</v>
      </c>
      <c r="N64" s="9">
        <v>0.3008330000000115</v>
      </c>
      <c r="O64" s="9">
        <v>0</v>
      </c>
      <c r="P64" s="9">
        <v>92959</v>
      </c>
      <c r="Q64" s="9">
        <v>27.61691699999938</v>
      </c>
      <c r="R64" s="9">
        <v>3.574167000000003</v>
      </c>
      <c r="S64" s="9">
        <v>2670.272</v>
      </c>
      <c r="T64" s="9">
        <v>7801</v>
      </c>
      <c r="U64" s="6" t="s">
        <v>43</v>
      </c>
      <c r="V64" s="9">
        <v>7.640625</v>
      </c>
      <c r="W64" s="6" t="s">
        <v>106</v>
      </c>
    </row>
    <row r="65" spans="1:23">
      <c r="A65" s="6" t="s">
        <v>47</v>
      </c>
      <c r="B65" s="6" t="s">
        <v>102</v>
      </c>
      <c r="C65" s="9">
        <v>2</v>
      </c>
      <c r="D65" s="9">
        <v>4</v>
      </c>
      <c r="E65" s="9">
        <v>89445</v>
      </c>
      <c r="F65" s="9">
        <v>4000.383708</v>
      </c>
      <c r="G65" s="9">
        <v>12070</v>
      </c>
      <c r="H65" s="9">
        <v>0.13494326122198</v>
      </c>
      <c r="I65" s="9">
        <v>8.078125</v>
      </c>
      <c r="J65" s="9">
        <v>8.140625</v>
      </c>
      <c r="K65" s="9">
        <v>22359.1051581195</v>
      </c>
      <c r="L65" s="9">
        <v>0.1682909999999538</v>
      </c>
      <c r="M65" s="9">
        <v>0.2430839999999534</v>
      </c>
      <c r="N65" s="9">
        <v>0.319915999999921</v>
      </c>
      <c r="O65" s="9">
        <v>0</v>
      </c>
      <c r="P65" s="9">
        <v>89445</v>
      </c>
      <c r="Q65" s="9">
        <v>28.50829200001317</v>
      </c>
      <c r="R65" s="9">
        <v>3.331709</v>
      </c>
      <c r="S65" s="9">
        <v>2699.604</v>
      </c>
      <c r="T65" s="9">
        <v>7801</v>
      </c>
      <c r="U65" s="6" t="s">
        <v>43</v>
      </c>
      <c r="V65" s="9">
        <v>7.6875</v>
      </c>
      <c r="W65" s="6" t="s">
        <v>107</v>
      </c>
    </row>
    <row r="66" spans="1:23">
      <c r="A66" s="6" t="s">
        <v>47</v>
      </c>
      <c r="B66" s="6" t="s">
        <v>102</v>
      </c>
      <c r="C66" s="9">
        <v>3</v>
      </c>
      <c r="D66" s="9">
        <v>4</v>
      </c>
      <c r="E66" s="9">
        <v>89456</v>
      </c>
      <c r="F66" s="9">
        <v>4000.362041</v>
      </c>
      <c r="G66" s="9">
        <v>12090</v>
      </c>
      <c r="H66" s="9">
        <v>0.1351502414594885</v>
      </c>
      <c r="I66" s="9">
        <v>8.015625</v>
      </c>
      <c r="J66" s="9">
        <v>8.046875</v>
      </c>
      <c r="K66" s="9">
        <v>22361.97601196066</v>
      </c>
      <c r="L66" s="9">
        <v>0.168416999999863</v>
      </c>
      <c r="M66" s="9">
        <v>0.2423329999999879</v>
      </c>
      <c r="N66" s="9">
        <v>0.3194579999999405</v>
      </c>
      <c r="O66" s="9">
        <v>0</v>
      </c>
      <c r="P66" s="9">
        <v>89456</v>
      </c>
      <c r="Q66" s="9">
        <v>27.48662500001956</v>
      </c>
      <c r="R66" s="9">
        <v>3.345334000000001</v>
      </c>
      <c r="S66" s="9">
        <v>2690.989</v>
      </c>
      <c r="T66" s="9">
        <v>7801</v>
      </c>
      <c r="U66" s="6" t="s">
        <v>43</v>
      </c>
      <c r="V66" s="9">
        <v>7.640625</v>
      </c>
      <c r="W66" s="6" t="s">
        <v>108</v>
      </c>
    </row>
    <row r="67" spans="1:23">
      <c r="A67" s="6" t="s">
        <v>41</v>
      </c>
      <c r="B67" s="6" t="s">
        <v>109</v>
      </c>
      <c r="C67" s="9">
        <v>1</v>
      </c>
      <c r="D67" s="9">
        <v>4</v>
      </c>
      <c r="E67" s="9">
        <v>36195</v>
      </c>
      <c r="F67" s="9">
        <v>4000.459125</v>
      </c>
      <c r="G67" s="9">
        <v>6100</v>
      </c>
      <c r="H67" s="9">
        <v>0.1685315651333057</v>
      </c>
      <c r="I67" s="9">
        <v>231.359375</v>
      </c>
      <c r="J67" s="9">
        <v>234.53125</v>
      </c>
      <c r="K67" s="9">
        <v>9047.711492365268</v>
      </c>
      <c r="L67" s="9">
        <v>0.3899169999999685</v>
      </c>
      <c r="M67" s="9">
        <v>0.7662500000001273</v>
      </c>
      <c r="N67" s="9">
        <v>1.067332999999962</v>
      </c>
      <c r="O67" s="9">
        <v>0</v>
      </c>
      <c r="P67" s="9">
        <v>36195</v>
      </c>
      <c r="Q67" s="9">
        <v>151.8780830000032</v>
      </c>
      <c r="R67" s="9">
        <v>10.868833</v>
      </c>
      <c r="S67" s="9">
        <v>1590.488</v>
      </c>
      <c r="T67" s="9">
        <v>891</v>
      </c>
      <c r="U67" s="6" t="s">
        <v>72</v>
      </c>
      <c r="V67" s="9">
        <v>147.765625</v>
      </c>
      <c r="W67" s="6" t="s">
        <v>110</v>
      </c>
    </row>
    <row r="68" spans="1:23">
      <c r="A68" s="6" t="s">
        <v>41</v>
      </c>
      <c r="B68" s="6" t="s">
        <v>109</v>
      </c>
      <c r="C68" s="9">
        <v>2</v>
      </c>
      <c r="D68" s="9">
        <v>4</v>
      </c>
      <c r="E68" s="9">
        <v>36206</v>
      </c>
      <c r="F68" s="9">
        <v>4000.493417</v>
      </c>
      <c r="G68" s="9">
        <v>6050</v>
      </c>
      <c r="H68" s="9">
        <v>0.1670993757940673</v>
      </c>
      <c r="I68" s="9">
        <v>221.265625</v>
      </c>
      <c r="J68" s="9">
        <v>233.78125</v>
      </c>
      <c r="K68" s="9">
        <v>9050.383596719215</v>
      </c>
      <c r="L68" s="9">
        <v>0.3910409999998592</v>
      </c>
      <c r="M68" s="9">
        <v>0.7710000000001855</v>
      </c>
      <c r="N68" s="9">
        <v>1.024666000000025</v>
      </c>
      <c r="O68" s="9">
        <v>0</v>
      </c>
      <c r="P68" s="9">
        <v>36206</v>
      </c>
      <c r="Q68" s="9">
        <v>154.0133750000095</v>
      </c>
      <c r="R68" s="9">
        <v>10.61675</v>
      </c>
      <c r="S68" s="9">
        <v>1592.507</v>
      </c>
      <c r="T68" s="9">
        <v>891</v>
      </c>
      <c r="U68" s="6" t="s">
        <v>72</v>
      </c>
      <c r="V68" s="9">
        <v>148.25</v>
      </c>
      <c r="W68" s="6" t="s">
        <v>111</v>
      </c>
    </row>
    <row r="69" spans="1:23">
      <c r="A69" s="6" t="s">
        <v>41</v>
      </c>
      <c r="B69" s="6" t="s">
        <v>109</v>
      </c>
      <c r="C69" s="9">
        <v>3</v>
      </c>
      <c r="D69" s="9">
        <v>4</v>
      </c>
      <c r="E69" s="9">
        <v>36592</v>
      </c>
      <c r="F69" s="9">
        <v>4000.437875</v>
      </c>
      <c r="G69" s="9">
        <v>6040</v>
      </c>
      <c r="H69" s="9">
        <v>0.165063401836467</v>
      </c>
      <c r="I69" s="9">
        <v>224</v>
      </c>
      <c r="J69" s="9">
        <v>231.375</v>
      </c>
      <c r="K69" s="9">
        <v>9146.998689487211</v>
      </c>
      <c r="L69" s="9">
        <v>0.38637499999993</v>
      </c>
      <c r="M69" s="9">
        <v>0.7646249999997963</v>
      </c>
      <c r="N69" s="9">
        <v>1.026000000000067</v>
      </c>
      <c r="O69" s="9">
        <v>0</v>
      </c>
      <c r="P69" s="9">
        <v>36592</v>
      </c>
      <c r="Q69" s="9">
        <v>200.1552500000107</v>
      </c>
      <c r="R69" s="9">
        <v>10.969916</v>
      </c>
      <c r="S69" s="9">
        <v>1578.865</v>
      </c>
      <c r="T69" s="9">
        <v>891</v>
      </c>
      <c r="U69" s="6" t="s">
        <v>72</v>
      </c>
      <c r="V69" s="9">
        <v>146.484375</v>
      </c>
      <c r="W69" s="6" t="s">
        <v>112</v>
      </c>
    </row>
    <row r="70" spans="1:23">
      <c r="A70" s="6" t="s">
        <v>47</v>
      </c>
      <c r="B70" s="6" t="s">
        <v>109</v>
      </c>
      <c r="C70" s="9">
        <v>1</v>
      </c>
      <c r="D70" s="9">
        <v>4</v>
      </c>
      <c r="E70" s="9">
        <v>82598</v>
      </c>
      <c r="F70" s="9">
        <v>4000.364084</v>
      </c>
      <c r="G70" s="9">
        <v>11830</v>
      </c>
      <c r="H70" s="9">
        <v>0.1432238068718371</v>
      </c>
      <c r="I70" s="9">
        <v>8.046875</v>
      </c>
      <c r="J70" s="9">
        <v>8.046875</v>
      </c>
      <c r="K70" s="9">
        <v>20647.62063292237</v>
      </c>
      <c r="L70" s="9">
        <v>0.1823750000000928</v>
      </c>
      <c r="M70" s="9">
        <v>0.2642080000000533</v>
      </c>
      <c r="N70" s="9">
        <v>0.3527079999998932</v>
      </c>
      <c r="O70" s="9">
        <v>0</v>
      </c>
      <c r="P70" s="9">
        <v>82598</v>
      </c>
      <c r="Q70" s="9">
        <v>27.61687499999243</v>
      </c>
      <c r="R70" s="9">
        <v>3.507292000000003</v>
      </c>
      <c r="S70" s="9">
        <v>2889.54</v>
      </c>
      <c r="T70" s="9">
        <v>846</v>
      </c>
      <c r="U70" s="6" t="s">
        <v>72</v>
      </c>
      <c r="V70" s="9">
        <v>7.703125</v>
      </c>
      <c r="W70" s="6" t="s">
        <v>113</v>
      </c>
    </row>
    <row r="71" spans="1:23">
      <c r="A71" s="6" t="s">
        <v>47</v>
      </c>
      <c r="B71" s="6" t="s">
        <v>109</v>
      </c>
      <c r="C71" s="9">
        <v>2</v>
      </c>
      <c r="D71" s="9">
        <v>4</v>
      </c>
      <c r="E71" s="9">
        <v>79451</v>
      </c>
      <c r="F71" s="9">
        <v>4000.326125</v>
      </c>
      <c r="G71" s="9">
        <v>11810</v>
      </c>
      <c r="H71" s="9">
        <v>0.1486450768398132</v>
      </c>
      <c r="I71" s="9">
        <v>8.046875</v>
      </c>
      <c r="J71" s="9">
        <v>8.078125</v>
      </c>
      <c r="K71" s="9">
        <v>19861.13069718784</v>
      </c>
      <c r="L71" s="9">
        <v>0.189209000000119</v>
      </c>
      <c r="M71" s="9">
        <v>0.2759580000001733</v>
      </c>
      <c r="N71" s="9">
        <v>0.3631249999998545</v>
      </c>
      <c r="O71" s="9">
        <v>0</v>
      </c>
      <c r="P71" s="9">
        <v>79451</v>
      </c>
      <c r="Q71" s="9">
        <v>28.60999999998603</v>
      </c>
      <c r="R71" s="9">
        <v>3.685040999999998</v>
      </c>
      <c r="S71" s="9">
        <v>2875.652</v>
      </c>
      <c r="T71" s="9">
        <v>846</v>
      </c>
      <c r="U71" s="6" t="s">
        <v>72</v>
      </c>
      <c r="V71" s="9">
        <v>7.59375</v>
      </c>
      <c r="W71" s="6" t="s">
        <v>114</v>
      </c>
    </row>
    <row r="72" spans="1:23">
      <c r="A72" s="6" t="s">
        <v>47</v>
      </c>
      <c r="B72" s="6" t="s">
        <v>109</v>
      </c>
      <c r="C72" s="9">
        <v>3</v>
      </c>
      <c r="D72" s="9">
        <v>4</v>
      </c>
      <c r="E72" s="9">
        <v>72727</v>
      </c>
      <c r="F72" s="9">
        <v>4000.333042</v>
      </c>
      <c r="G72" s="9">
        <v>11820</v>
      </c>
      <c r="H72" s="9">
        <v>0.1625256094710355</v>
      </c>
      <c r="I72" s="9">
        <v>7.953125</v>
      </c>
      <c r="J72" s="9">
        <v>8</v>
      </c>
      <c r="K72" s="9">
        <v>18180.23630443518</v>
      </c>
      <c r="L72" s="9">
        <v>0.2080410000003212</v>
      </c>
      <c r="M72" s="9">
        <v>0.3015829999999369</v>
      </c>
      <c r="N72" s="9">
        <v>0.3869170000002669</v>
      </c>
      <c r="O72" s="9">
        <v>0</v>
      </c>
      <c r="P72" s="9">
        <v>72727</v>
      </c>
      <c r="Q72" s="9">
        <v>28.46441600000253</v>
      </c>
      <c r="R72" s="9">
        <v>3.606916999999999</v>
      </c>
      <c r="S72" s="9">
        <v>2907.257</v>
      </c>
      <c r="T72" s="9">
        <v>846</v>
      </c>
      <c r="U72" s="6" t="s">
        <v>72</v>
      </c>
      <c r="V72" s="9">
        <v>7.609375</v>
      </c>
      <c r="W72" s="6" t="s">
        <v>115</v>
      </c>
    </row>
    <row r="73" spans="1:23">
      <c r="A73" s="6" t="s">
        <v>41</v>
      </c>
      <c r="B73" s="6" t="s">
        <v>116</v>
      </c>
      <c r="C73" s="9">
        <v>1</v>
      </c>
      <c r="D73" s="9">
        <v>4</v>
      </c>
      <c r="E73" s="9">
        <v>93946</v>
      </c>
      <c r="F73" s="9">
        <v>4000.3785</v>
      </c>
      <c r="G73" s="9">
        <v>6800</v>
      </c>
      <c r="H73" s="9">
        <v>0.07238200668469121</v>
      </c>
      <c r="I73" s="9">
        <v>211.96875</v>
      </c>
      <c r="J73" s="9">
        <v>215.8125</v>
      </c>
      <c r="K73" s="9">
        <v>23484.27780021315</v>
      </c>
      <c r="L73" s="9">
        <v>0.1479580000000169</v>
      </c>
      <c r="M73" s="9">
        <v>0.2388339999999971</v>
      </c>
      <c r="N73" s="9">
        <v>0.6935419999999795</v>
      </c>
      <c r="O73" s="9">
        <v>0</v>
      </c>
      <c r="P73" s="9">
        <v>93946</v>
      </c>
      <c r="Q73" s="9">
        <v>159.0674579999995</v>
      </c>
      <c r="R73" s="9">
        <v>4.402083999999999</v>
      </c>
      <c r="S73" s="9">
        <v>3312.026</v>
      </c>
      <c r="T73" s="9">
        <v>32768</v>
      </c>
      <c r="U73" s="6" t="s">
        <v>43</v>
      </c>
      <c r="V73" s="9">
        <v>129.09375</v>
      </c>
      <c r="W73" s="6" t="s">
        <v>117</v>
      </c>
    </row>
    <row r="74" spans="1:23">
      <c r="A74" s="6" t="s">
        <v>41</v>
      </c>
      <c r="B74" s="6" t="s">
        <v>116</v>
      </c>
      <c r="C74" s="9">
        <v>2</v>
      </c>
      <c r="D74" s="9">
        <v>4</v>
      </c>
      <c r="E74" s="9">
        <v>93898</v>
      </c>
      <c r="F74" s="9">
        <v>4000.365084</v>
      </c>
      <c r="G74" s="9">
        <v>6750</v>
      </c>
      <c r="H74" s="9">
        <v>0.07188651515474238</v>
      </c>
      <c r="I74" s="9">
        <v>212.359375</v>
      </c>
      <c r="J74" s="9">
        <v>214.5</v>
      </c>
      <c r="K74" s="9">
        <v>23472.35765444452</v>
      </c>
      <c r="L74" s="9">
        <v>0.1475000000000364</v>
      </c>
      <c r="M74" s="9">
        <v>0.2505419999999958</v>
      </c>
      <c r="N74" s="9">
        <v>0.6959170000000086</v>
      </c>
      <c r="O74" s="9">
        <v>0</v>
      </c>
      <c r="P74" s="9">
        <v>93898</v>
      </c>
      <c r="Q74" s="9">
        <v>154.7770000000019</v>
      </c>
      <c r="R74" s="9">
        <v>4.448416999999999</v>
      </c>
      <c r="S74" s="9">
        <v>3337.37</v>
      </c>
      <c r="T74" s="9">
        <v>32768</v>
      </c>
      <c r="U74" s="6" t="s">
        <v>43</v>
      </c>
      <c r="V74" s="9">
        <v>125.890625</v>
      </c>
      <c r="W74" s="6" t="s">
        <v>118</v>
      </c>
    </row>
    <row r="75" spans="1:23">
      <c r="A75" s="6" t="s">
        <v>41</v>
      </c>
      <c r="B75" s="6" t="s">
        <v>116</v>
      </c>
      <c r="C75" s="9">
        <v>3</v>
      </c>
      <c r="D75" s="9">
        <v>4</v>
      </c>
      <c r="E75" s="9">
        <v>93829</v>
      </c>
      <c r="F75" s="9">
        <v>4000.358834</v>
      </c>
      <c r="G75" s="9">
        <v>6790</v>
      </c>
      <c r="H75" s="9">
        <v>0.07236568651483016</v>
      </c>
      <c r="I75" s="9">
        <v>212.03125</v>
      </c>
      <c r="J75" s="9">
        <v>220.171875</v>
      </c>
      <c r="K75" s="9">
        <v>23455.14587404636</v>
      </c>
      <c r="L75" s="9">
        <v>0.1476250000000618</v>
      </c>
      <c r="M75" s="9">
        <v>0.2495000000000118</v>
      </c>
      <c r="N75" s="9">
        <v>0.6942090000000007</v>
      </c>
      <c r="O75" s="9">
        <v>0</v>
      </c>
      <c r="P75" s="9">
        <v>93829</v>
      </c>
      <c r="Q75" s="9">
        <v>155.7453340000357</v>
      </c>
      <c r="R75" s="9">
        <v>4.401958999999998</v>
      </c>
      <c r="S75" s="9">
        <v>3290.607</v>
      </c>
      <c r="T75" s="9">
        <v>32768</v>
      </c>
      <c r="U75" s="6" t="s">
        <v>43</v>
      </c>
      <c r="V75" s="9">
        <v>126.546875</v>
      </c>
      <c r="W75" s="6" t="s">
        <v>119</v>
      </c>
    </row>
    <row r="76" spans="1:23">
      <c r="A76" s="6" t="s">
        <v>47</v>
      </c>
      <c r="B76" s="6" t="s">
        <v>116</v>
      </c>
      <c r="C76" s="9">
        <v>1</v>
      </c>
      <c r="D76" s="9">
        <v>4</v>
      </c>
      <c r="E76" s="9">
        <v>137859</v>
      </c>
      <c r="F76" s="9">
        <v>4000.361</v>
      </c>
      <c r="G76" s="9">
        <v>8220</v>
      </c>
      <c r="H76" s="9">
        <v>0.05962613975148522</v>
      </c>
      <c r="I76" s="9">
        <v>8.34375</v>
      </c>
      <c r="J76" s="9">
        <v>8.4375</v>
      </c>
      <c r="K76" s="9">
        <v>34461.63983700471</v>
      </c>
      <c r="L76" s="9">
        <v>0.1023330000000442</v>
      </c>
      <c r="M76" s="9">
        <v>0.1722079999999551</v>
      </c>
      <c r="N76" s="9">
        <v>0.2519170000000486</v>
      </c>
      <c r="O76" s="9">
        <v>0</v>
      </c>
      <c r="P76" s="9">
        <v>137859</v>
      </c>
      <c r="Q76" s="9">
        <v>29.37516700000015</v>
      </c>
      <c r="R76" s="9">
        <v>3.280833000000001</v>
      </c>
      <c r="S76" s="9">
        <v>4128.447</v>
      </c>
      <c r="T76" s="9">
        <v>32768</v>
      </c>
      <c r="U76" s="6" t="s">
        <v>43</v>
      </c>
      <c r="V76" s="9">
        <v>7.765625</v>
      </c>
      <c r="W76" s="6" t="s">
        <v>120</v>
      </c>
    </row>
    <row r="77" spans="1:23">
      <c r="A77" s="6" t="s">
        <v>47</v>
      </c>
      <c r="B77" s="6" t="s">
        <v>116</v>
      </c>
      <c r="C77" s="9">
        <v>2</v>
      </c>
      <c r="D77" s="9">
        <v>4</v>
      </c>
      <c r="E77" s="9">
        <v>132664</v>
      </c>
      <c r="F77" s="9">
        <v>4000.328042</v>
      </c>
      <c r="G77" s="9">
        <v>8240</v>
      </c>
      <c r="H77" s="9">
        <v>0.06211180124223602</v>
      </c>
      <c r="I77" s="9">
        <v>8.375</v>
      </c>
      <c r="J77" s="9">
        <v>8.484375</v>
      </c>
      <c r="K77" s="9">
        <v>33163.28026280401</v>
      </c>
      <c r="L77" s="9">
        <v>0.1064579999999751</v>
      </c>
      <c r="M77" s="9">
        <v>0.1799579999999423</v>
      </c>
      <c r="N77" s="9">
        <v>0.2654589999999928</v>
      </c>
      <c r="O77" s="9">
        <v>0</v>
      </c>
      <c r="P77" s="9">
        <v>132664</v>
      </c>
      <c r="Q77" s="9">
        <v>29.06795799999963</v>
      </c>
      <c r="R77" s="9">
        <v>3.241708000000003</v>
      </c>
      <c r="S77" s="9">
        <v>4116.162</v>
      </c>
      <c r="T77" s="9">
        <v>32768</v>
      </c>
      <c r="U77" s="6" t="s">
        <v>43</v>
      </c>
      <c r="V77" s="9">
        <v>7.90625</v>
      </c>
      <c r="W77" s="6" t="s">
        <v>121</v>
      </c>
    </row>
    <row r="78" spans="1:23">
      <c r="A78" s="6" t="s">
        <v>47</v>
      </c>
      <c r="B78" s="6" t="s">
        <v>116</v>
      </c>
      <c r="C78" s="9">
        <v>3</v>
      </c>
      <c r="D78" s="9">
        <v>4</v>
      </c>
      <c r="E78" s="9">
        <v>128717</v>
      </c>
      <c r="F78" s="9">
        <v>4000.341625</v>
      </c>
      <c r="G78" s="9">
        <v>8119.999999999999</v>
      </c>
      <c r="H78" s="9">
        <v>0.06308413030135879</v>
      </c>
      <c r="I78" s="9">
        <v>8.421875</v>
      </c>
      <c r="J78" s="9">
        <v>8.421875</v>
      </c>
      <c r="K78" s="9">
        <v>32176.50192563241</v>
      </c>
      <c r="L78" s="9">
        <v>0.1103750000002037</v>
      </c>
      <c r="M78" s="9">
        <v>0.1851659999999811</v>
      </c>
      <c r="N78" s="9">
        <v>0.272500000000008</v>
      </c>
      <c r="O78" s="9">
        <v>0</v>
      </c>
      <c r="P78" s="9">
        <v>128717</v>
      </c>
      <c r="Q78" s="9">
        <v>28.59379099996295</v>
      </c>
      <c r="R78" s="9">
        <v>3.482332999999997</v>
      </c>
      <c r="S78" s="9">
        <v>4147.499</v>
      </c>
      <c r="T78" s="9">
        <v>32768</v>
      </c>
      <c r="U78" s="6" t="s">
        <v>43</v>
      </c>
      <c r="V78" s="9">
        <v>7.78125</v>
      </c>
      <c r="W78" s="6" t="s">
        <v>122</v>
      </c>
    </row>
    <row r="79" spans="1:23">
      <c r="A79" s="6" t="s">
        <v>41</v>
      </c>
      <c r="B79" s="6" t="s">
        <v>123</v>
      </c>
      <c r="C79" s="9">
        <v>1</v>
      </c>
      <c r="D79" s="9">
        <v>4</v>
      </c>
      <c r="E79" s="9">
        <v>59825</v>
      </c>
      <c r="F79" s="9">
        <v>4000.439666</v>
      </c>
      <c r="G79" s="9">
        <v>9840</v>
      </c>
      <c r="H79" s="9">
        <v>0.1644797325532804</v>
      </c>
      <c r="I79" s="9">
        <v>203.640625</v>
      </c>
      <c r="J79" s="9">
        <v>222.390625</v>
      </c>
      <c r="K79" s="9">
        <v>14954.606242023</v>
      </c>
      <c r="L79" s="9">
        <v>0.2311249999997926</v>
      </c>
      <c r="M79" s="9">
        <v>0.3989169999999831</v>
      </c>
      <c r="N79" s="9">
        <v>0.9184169999999767</v>
      </c>
      <c r="O79" s="9">
        <v>0</v>
      </c>
      <c r="P79" s="9">
        <v>59825</v>
      </c>
      <c r="Q79" s="9">
        <v>156.120041999995</v>
      </c>
      <c r="R79" s="9">
        <v>6.159041999999999</v>
      </c>
      <c r="S79" s="9">
        <v>2697.881</v>
      </c>
      <c r="T79" s="9">
        <v>92</v>
      </c>
      <c r="U79" s="6" t="s">
        <v>72</v>
      </c>
      <c r="V79" s="9">
        <v>146.71875</v>
      </c>
      <c r="W79" s="6" t="s">
        <v>124</v>
      </c>
    </row>
    <row r="80" spans="1:23">
      <c r="A80" s="6" t="s">
        <v>41</v>
      </c>
      <c r="B80" s="6" t="s">
        <v>123</v>
      </c>
      <c r="C80" s="9">
        <v>2</v>
      </c>
      <c r="D80" s="9">
        <v>4</v>
      </c>
      <c r="E80" s="9">
        <v>58323</v>
      </c>
      <c r="F80" s="9">
        <v>4000.428917</v>
      </c>
      <c r="G80" s="9">
        <v>9890</v>
      </c>
      <c r="H80" s="9">
        <v>0.1695728957701078</v>
      </c>
      <c r="I80" s="9">
        <v>206.921875</v>
      </c>
      <c r="J80" s="9">
        <v>229.34375</v>
      </c>
      <c r="K80" s="9">
        <v>14579.18668474619</v>
      </c>
      <c r="L80" s="9">
        <v>0.2374999999997272</v>
      </c>
      <c r="M80" s="9">
        <v>0.3997909999999933</v>
      </c>
      <c r="N80" s="9">
        <v>0.944582999999966</v>
      </c>
      <c r="O80" s="9">
        <v>0</v>
      </c>
      <c r="P80" s="9">
        <v>58323</v>
      </c>
      <c r="Q80" s="9">
        <v>151.8294170000008</v>
      </c>
      <c r="R80" s="9">
        <v>4.959250000000001</v>
      </c>
      <c r="S80" s="9">
        <v>2695.838</v>
      </c>
      <c r="T80" s="9">
        <v>92</v>
      </c>
      <c r="U80" s="6" t="s">
        <v>72</v>
      </c>
      <c r="V80" s="9">
        <v>143.78125</v>
      </c>
      <c r="W80" s="6" t="s">
        <v>125</v>
      </c>
    </row>
    <row r="81" spans="1:23">
      <c r="A81" s="6" t="s">
        <v>41</v>
      </c>
      <c r="B81" s="6" t="s">
        <v>123</v>
      </c>
      <c r="C81" s="9">
        <v>3</v>
      </c>
      <c r="D81" s="9">
        <v>4</v>
      </c>
      <c r="E81" s="9">
        <v>56195</v>
      </c>
      <c r="F81" s="9">
        <v>4000.437167</v>
      </c>
      <c r="G81" s="9">
        <v>9870</v>
      </c>
      <c r="H81" s="9">
        <v>0.1756384019930599</v>
      </c>
      <c r="I81" s="9">
        <v>198.671875</v>
      </c>
      <c r="J81" s="9">
        <v>205.953125</v>
      </c>
      <c r="K81" s="9">
        <v>14047.21475531677</v>
      </c>
      <c r="L81" s="9">
        <v>0.2494579999999473</v>
      </c>
      <c r="M81" s="9">
        <v>0.4071670000000012</v>
      </c>
      <c r="N81" s="9">
        <v>0.9841660000001866</v>
      </c>
      <c r="O81" s="9">
        <v>0</v>
      </c>
      <c r="P81" s="9">
        <v>56195</v>
      </c>
      <c r="Q81" s="9">
        <v>192.3351660000044</v>
      </c>
      <c r="R81" s="9">
        <v>5.182417000000001</v>
      </c>
      <c r="S81" s="9">
        <v>2714.034</v>
      </c>
      <c r="T81" s="9">
        <v>92</v>
      </c>
      <c r="U81" s="6" t="s">
        <v>72</v>
      </c>
      <c r="V81" s="9">
        <v>144.59375</v>
      </c>
      <c r="W81" s="6" t="s">
        <v>126</v>
      </c>
    </row>
    <row r="82" spans="1:23">
      <c r="A82" s="6" t="s">
        <v>47</v>
      </c>
      <c r="B82" s="6" t="s">
        <v>123</v>
      </c>
      <c r="C82" s="9">
        <v>1</v>
      </c>
      <c r="D82" s="9">
        <v>4</v>
      </c>
      <c r="E82" s="9">
        <v>100897</v>
      </c>
      <c r="F82" s="9">
        <v>4000.355625</v>
      </c>
      <c r="G82" s="9">
        <v>10060</v>
      </c>
      <c r="H82" s="9">
        <v>0.09970564040556211</v>
      </c>
      <c r="I82" s="9">
        <v>16.359375</v>
      </c>
      <c r="J82" s="9">
        <v>17.5</v>
      </c>
      <c r="K82" s="9">
        <v>25222.00760588629</v>
      </c>
      <c r="L82" s="9">
        <v>0.1453749999999445</v>
      </c>
      <c r="M82" s="9">
        <v>0.2280839999998534</v>
      </c>
      <c r="N82" s="9">
        <v>0.3338340000000244</v>
      </c>
      <c r="O82" s="9">
        <v>0</v>
      </c>
      <c r="P82" s="9">
        <v>100897</v>
      </c>
      <c r="Q82" s="9">
        <v>27.34524999999849</v>
      </c>
      <c r="R82" s="9">
        <v>3.650708000000002</v>
      </c>
      <c r="S82" s="9">
        <v>3644.821</v>
      </c>
      <c r="T82" s="9">
        <v>92</v>
      </c>
      <c r="U82" s="6" t="s">
        <v>72</v>
      </c>
      <c r="V82" s="9">
        <v>13.78125</v>
      </c>
      <c r="W82" s="6" t="s">
        <v>127</v>
      </c>
    </row>
    <row r="83" spans="1:23">
      <c r="A83" s="6" t="s">
        <v>47</v>
      </c>
      <c r="B83" s="6" t="s">
        <v>123</v>
      </c>
      <c r="C83" s="9">
        <v>2</v>
      </c>
      <c r="D83" s="9">
        <v>4</v>
      </c>
      <c r="E83" s="9">
        <v>100128</v>
      </c>
      <c r="F83" s="9">
        <v>4000.381292</v>
      </c>
      <c r="G83" s="9">
        <v>10120</v>
      </c>
      <c r="H83" s="9">
        <v>0.1010706295941195</v>
      </c>
      <c r="I83" s="9">
        <v>17.34375</v>
      </c>
      <c r="J83" s="9">
        <v>17.625</v>
      </c>
      <c r="K83" s="9">
        <v>25029.61410209495</v>
      </c>
      <c r="L83" s="9">
        <v>0.1465410000000702</v>
      </c>
      <c r="M83" s="9">
        <v>0.2302500000000691</v>
      </c>
      <c r="N83" s="9">
        <v>0.3324580000003152</v>
      </c>
      <c r="O83" s="9">
        <v>0</v>
      </c>
      <c r="P83" s="9">
        <v>100128</v>
      </c>
      <c r="Q83" s="9">
        <v>28.38375000000815</v>
      </c>
      <c r="R83" s="9">
        <v>3.453250000000001</v>
      </c>
      <c r="S83" s="9">
        <v>3608.669</v>
      </c>
      <c r="T83" s="9">
        <v>92</v>
      </c>
      <c r="U83" s="6" t="s">
        <v>72</v>
      </c>
      <c r="V83" s="9">
        <v>13.5625</v>
      </c>
      <c r="W83" s="6" t="s">
        <v>128</v>
      </c>
    </row>
    <row r="84" spans="1:23">
      <c r="A84" s="6" t="s">
        <v>47</v>
      </c>
      <c r="B84" s="6" t="s">
        <v>123</v>
      </c>
      <c r="C84" s="9">
        <v>3</v>
      </c>
      <c r="D84" s="9">
        <v>4</v>
      </c>
      <c r="E84" s="9">
        <v>83381</v>
      </c>
      <c r="F84" s="9">
        <v>4000.488542</v>
      </c>
      <c r="G84" s="9">
        <v>10100</v>
      </c>
      <c r="H84" s="9">
        <v>0.1211307132320313</v>
      </c>
      <c r="I84" s="9">
        <v>17.234375</v>
      </c>
      <c r="J84" s="9">
        <v>17.546875</v>
      </c>
      <c r="K84" s="9">
        <v>20842.70436588092</v>
      </c>
      <c r="L84" s="9">
        <v>0.1786669999996775</v>
      </c>
      <c r="M84" s="9">
        <v>0.2712910000000193</v>
      </c>
      <c r="N84" s="9">
        <v>0.3850840000000062</v>
      </c>
      <c r="O84" s="9">
        <v>0</v>
      </c>
      <c r="P84" s="9">
        <v>83381</v>
      </c>
      <c r="Q84" s="9">
        <v>29.18241700000362</v>
      </c>
      <c r="R84" s="9">
        <v>3.817334000000002</v>
      </c>
      <c r="S84" s="9">
        <v>3672.597</v>
      </c>
      <c r="T84" s="9">
        <v>92</v>
      </c>
      <c r="U84" s="6" t="s">
        <v>72</v>
      </c>
      <c r="V84" s="9">
        <v>13.328125</v>
      </c>
      <c r="W84" s="6" t="s">
        <v>129</v>
      </c>
    </row>
  </sheetData>
  <autoFilter ref="A6:W84"/>
  <mergeCells count="2">
    <mergeCell ref="A1:W2"/>
    <mergeCell ref="A3:W4"/>
  </mergeCells>
  <pageMargins left="0.3" right="0.3" top="0.4" bottom="0.4" header="0.3" footer="0.3"/>
  <pageSetup paperSize="9" fitToHeight="0" orientation="landscape"/>
  <headerFooter>
    <oddFooter>&amp;LComparatif local • 23/09/2026&amp;RPage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61728A"/>
    <pageSetUpPr fitToPage="1"/>
  </sheetPr>
  <dimension ref="A1:J2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29.7109375" customWidth="1"/>
    <col min="2" max="10" width="15.7109375" customWidth="1"/>
  </cols>
  <sheetData>
    <row r="1" spans="1:10" ht="32" customHeight="1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17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6" spans="1:10" ht="32" customHeight="1">
      <c r="A6" s="3" t="s">
        <v>203</v>
      </c>
      <c r="B6" s="3" t="s">
        <v>204</v>
      </c>
    </row>
    <row r="7" spans="1:10" ht="30" customHeight="1">
      <c r="A7" s="12" t="s">
        <v>205</v>
      </c>
      <c r="B7" s="12" t="s">
        <v>206</v>
      </c>
      <c r="C7" s="12"/>
      <c r="D7" s="12"/>
      <c r="E7" s="12"/>
      <c r="F7" s="12"/>
      <c r="G7" s="12"/>
      <c r="H7" s="12"/>
      <c r="I7" s="12"/>
      <c r="J7" s="12"/>
    </row>
    <row r="8" spans="1:10" ht="30" customHeight="1">
      <c r="A8" s="12" t="s">
        <v>207</v>
      </c>
      <c r="B8" s="12" t="s">
        <v>208</v>
      </c>
      <c r="C8" s="12"/>
      <c r="D8" s="12"/>
      <c r="E8" s="12"/>
      <c r="F8" s="12"/>
      <c r="G8" s="12"/>
      <c r="H8" s="12"/>
      <c r="I8" s="12"/>
      <c r="J8" s="12"/>
    </row>
    <row r="9" spans="1:10" ht="40" customHeight="1">
      <c r="A9" s="12" t="s">
        <v>209</v>
      </c>
      <c r="B9" s="12" t="s">
        <v>210</v>
      </c>
      <c r="C9" s="12"/>
      <c r="D9" s="12"/>
      <c r="E9" s="12"/>
      <c r="F9" s="12"/>
      <c r="G9" s="12"/>
      <c r="H9" s="12"/>
      <c r="I9" s="12"/>
      <c r="J9" s="12"/>
    </row>
    <row r="10" spans="1:10" ht="40" customHeight="1">
      <c r="A10" s="12" t="s">
        <v>211</v>
      </c>
      <c r="B10" s="12" t="s">
        <v>212</v>
      </c>
      <c r="C10" s="12"/>
      <c r="D10" s="12"/>
      <c r="E10" s="12"/>
      <c r="F10" s="12"/>
      <c r="G10" s="12"/>
      <c r="H10" s="12"/>
      <c r="I10" s="12"/>
      <c r="J10" s="12"/>
    </row>
    <row r="11" spans="1:10" ht="40" customHeight="1">
      <c r="A11" s="12" t="s">
        <v>213</v>
      </c>
      <c r="B11" s="12" t="s">
        <v>214</v>
      </c>
      <c r="C11" s="12"/>
      <c r="D11" s="12"/>
      <c r="E11" s="12"/>
      <c r="F11" s="12"/>
      <c r="G11" s="12"/>
      <c r="H11" s="12"/>
      <c r="I11" s="12"/>
      <c r="J11" s="12"/>
    </row>
    <row r="12" spans="1:10" ht="40" customHeight="1">
      <c r="A12" s="12" t="s">
        <v>215</v>
      </c>
      <c r="B12" s="12" t="s">
        <v>216</v>
      </c>
      <c r="C12" s="12"/>
      <c r="D12" s="12"/>
      <c r="E12" s="12"/>
      <c r="F12" s="12"/>
      <c r="G12" s="12"/>
      <c r="H12" s="12"/>
      <c r="I12" s="12"/>
      <c r="J12" s="12"/>
    </row>
    <row r="13" spans="1:10" ht="40" customHeight="1">
      <c r="A13" s="12" t="s">
        <v>217</v>
      </c>
      <c r="B13" s="12" t="s">
        <v>218</v>
      </c>
      <c r="C13" s="12"/>
      <c r="D13" s="12"/>
      <c r="E13" s="12"/>
      <c r="F13" s="12"/>
      <c r="G13" s="12"/>
      <c r="H13" s="12"/>
      <c r="I13" s="12"/>
      <c r="J13" s="12"/>
    </row>
    <row r="14" spans="1:10" ht="40" customHeight="1">
      <c r="A14" s="12" t="s">
        <v>219</v>
      </c>
      <c r="B14" s="12" t="s">
        <v>220</v>
      </c>
      <c r="C14" s="12"/>
      <c r="D14" s="12"/>
      <c r="E14" s="12"/>
      <c r="F14" s="12"/>
      <c r="G14" s="12"/>
      <c r="H14" s="12"/>
      <c r="I14" s="12"/>
      <c r="J14" s="12"/>
    </row>
    <row r="15" spans="1:10" ht="40" customHeight="1">
      <c r="A15" s="12" t="s">
        <v>221</v>
      </c>
      <c r="B15" s="12" t="s">
        <v>222</v>
      </c>
      <c r="C15" s="12"/>
      <c r="D15" s="12"/>
      <c r="E15" s="12"/>
      <c r="F15" s="12"/>
      <c r="G15" s="12"/>
      <c r="H15" s="12"/>
      <c r="I15" s="12"/>
      <c r="J15" s="12"/>
    </row>
    <row r="16" spans="1:10" ht="40" customHeight="1">
      <c r="A16" s="12" t="s">
        <v>223</v>
      </c>
      <c r="B16" s="12" t="s">
        <v>224</v>
      </c>
      <c r="C16" s="12"/>
      <c r="D16" s="12"/>
      <c r="E16" s="12"/>
      <c r="F16" s="12"/>
      <c r="G16" s="12"/>
      <c r="H16" s="12"/>
      <c r="I16" s="12"/>
      <c r="J16" s="12"/>
    </row>
    <row r="17" spans="1:10" ht="40" customHeight="1">
      <c r="A17" s="12" t="s">
        <v>225</v>
      </c>
      <c r="B17" s="12" t="s">
        <v>226</v>
      </c>
      <c r="C17" s="12"/>
      <c r="D17" s="12"/>
      <c r="E17" s="12"/>
      <c r="F17" s="12"/>
      <c r="G17" s="12"/>
      <c r="H17" s="12"/>
      <c r="I17" s="12"/>
      <c r="J17" s="12"/>
    </row>
    <row r="18" spans="1:10" ht="40" customHeight="1">
      <c r="A18" s="12" t="s">
        <v>227</v>
      </c>
      <c r="B18" s="12" t="s">
        <v>228</v>
      </c>
      <c r="C18" s="12"/>
      <c r="D18" s="12"/>
      <c r="E18" s="12"/>
      <c r="F18" s="12"/>
      <c r="G18" s="12"/>
      <c r="H18" s="12"/>
      <c r="I18" s="12"/>
      <c r="J18" s="12"/>
    </row>
    <row r="19" spans="1:10" ht="40" customHeight="1">
      <c r="A19" s="12" t="s">
        <v>229</v>
      </c>
      <c r="B19" s="12" t="s">
        <v>230</v>
      </c>
      <c r="C19" s="12"/>
      <c r="D19" s="12"/>
      <c r="E19" s="12"/>
      <c r="F19" s="12"/>
      <c r="G19" s="12"/>
      <c r="H19" s="12"/>
      <c r="I19" s="12"/>
      <c r="J19" s="12"/>
    </row>
    <row r="20" spans="1:10" ht="40" customHeight="1">
      <c r="A20" s="12" t="s">
        <v>231</v>
      </c>
      <c r="B20" s="12" t="s">
        <v>232</v>
      </c>
      <c r="C20" s="12"/>
      <c r="D20" s="12"/>
      <c r="E20" s="12"/>
      <c r="F20" s="12"/>
      <c r="G20" s="12"/>
      <c r="H20" s="12"/>
      <c r="I20" s="12"/>
      <c r="J20" s="12"/>
    </row>
    <row r="21" spans="1:10" ht="30" customHeight="1">
      <c r="A21" s="12" t="s">
        <v>233</v>
      </c>
      <c r="B21" s="12" t="s">
        <v>234</v>
      </c>
      <c r="C21" s="12"/>
      <c r="D21" s="12"/>
      <c r="E21" s="12"/>
      <c r="F21" s="12"/>
      <c r="G21" s="12"/>
      <c r="H21" s="12"/>
      <c r="I21" s="12"/>
      <c r="J21" s="12"/>
    </row>
    <row r="22" spans="1:10" ht="30" customHeight="1">
      <c r="A22" s="12" t="s">
        <v>235</v>
      </c>
      <c r="B22" s="12" t="s">
        <v>236</v>
      </c>
      <c r="C22" s="12"/>
      <c r="D22" s="12"/>
      <c r="E22" s="12"/>
      <c r="F22" s="12"/>
      <c r="G22" s="12"/>
      <c r="H22" s="12"/>
      <c r="I22" s="12"/>
      <c r="J22" s="12"/>
    </row>
    <row r="23" spans="1:10" ht="30" customHeight="1">
      <c r="A23" s="12" t="s">
        <v>237</v>
      </c>
      <c r="B23" s="12" t="s">
        <v>238</v>
      </c>
      <c r="C23" s="12"/>
      <c r="D23" s="12"/>
      <c r="E23" s="12"/>
      <c r="F23" s="12"/>
      <c r="G23" s="12"/>
      <c r="H23" s="12"/>
      <c r="I23" s="12"/>
      <c r="J23" s="12"/>
    </row>
  </sheetData>
  <mergeCells count="19">
    <mergeCell ref="A1:J2"/>
    <mergeCell ref="A3:J4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</mergeCells>
  <pageMargins left="0.3" right="0.3" top="0.4" bottom="0.4" header="0.3" footer="0.3"/>
  <pageSetup paperSize="9" fitToHeight="0" orientation="landscape"/>
  <headerFooter>
    <oddFooter>&amp;LComparatif local • 23/09/2026&amp;RPage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Synthèse</vt:lpstr>
      <vt:lpstr>Global</vt:lpstr>
      <vt:lpstr>Mémoire</vt:lpstr>
      <vt:lpstr>CPU</vt:lpstr>
      <vt:lpstr>Débit</vt:lpstr>
      <vt:lpstr>Gzip</vt:lpstr>
      <vt:lpstr>Build et web</vt:lpstr>
      <vt:lpstr>Brut</vt:lpstr>
      <vt:lpstr>Méthode</vt:lpstr>
      <vt:lpstr>CPU!Print_Area</vt:lpstr>
      <vt:lpstr>Mémoire!Print_Area</vt:lpstr>
      <vt:lpstr>Synthèse!Print_Area</vt:lpstr>
      <vt:lpstr>'Build et web'!Print_Titles</vt:lpstr>
      <vt:lpstr>CPU!Print_Titles</vt:lpstr>
      <vt:lpstr>Débit!Print_Titles</vt:lpstr>
      <vt:lpstr>Global!Print_Titles</vt:lpstr>
      <vt:lpstr>Gzip!Print_Titles</vt:lpstr>
      <vt:lpstr>Mémoire!Print_Titles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Rustyx / Next.js — comparaison mesurée</dc:title>
  <dc:creator>Rustyx</dc:creator>
  <dc:description>Mesures locales ; données et hypothèses incluses. Aucun score composite CPU/RAM.</dc:description>
  <cp:lastModifiedBy>Rustyx</cp:lastModifiedBy>
  <dcterms:created xsi:type="dcterms:W3CDTF">2026-09-23T03:46:07Z</dcterms:created>
  <dcterms:modified xsi:type="dcterms:W3CDTF">2026-09-23T03:46:07Z</dcterms:modified>
</cp:coreProperties>
</file>